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OS CUALITATIVOS" sheetId="1" r:id="rId5"/>
    <sheet name="ESTADOS FINANCIEROS" sheetId="2" r:id="rId6"/>
    <sheet name="ESTADOS DE CUENTA" sheetId="3" r:id="rId7"/>
    <sheet name="CRECIMIENTO" sheetId="4" r:id="rId8"/>
    <sheet name="CRECIMIENTO KPIS" sheetId="5" r:id="rId9"/>
    <sheet name="DASHBOARD CREC.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<sst xmlns="http://schemas.openxmlformats.org/spreadsheetml/2006/main" uniqueCount="248">
  <si>
    <t xml:space="preserve">CALIFACIONES CUALITATIVAS </t>
  </si>
  <si>
    <t>Aspecto a calificar</t>
  </si>
  <si>
    <t>Dato/Califiación</t>
  </si>
  <si>
    <t>Dato (Score)</t>
  </si>
  <si>
    <t>Score en Buro de Credito</t>
  </si>
  <si>
    <t>Dato (Años)</t>
  </si>
  <si>
    <t>Experiencia en el Giro (Empresa/Empresario)</t>
  </si>
  <si>
    <t>Califiación (0-100)</t>
  </si>
  <si>
    <t>Formalidad Financiera</t>
  </si>
  <si>
    <t>Métricas ESG</t>
  </si>
  <si>
    <t>DETALLES DEL CRÉDITO</t>
  </si>
  <si>
    <t>Dato</t>
  </si>
  <si>
    <t>Plazo</t>
  </si>
  <si>
    <t>Tasa de Interés</t>
  </si>
  <si>
    <t>Monto del Crédito</t>
  </si>
  <si>
    <t>Valor de Garantía</t>
  </si>
  <si>
    <t>ESTADO DE RESULTADOS</t>
  </si>
  <si>
    <t>AÑO 1</t>
  </si>
  <si>
    <t>AÑO 1 (%)</t>
  </si>
  <si>
    <t>AÑO 2</t>
  </si>
  <si>
    <t>AÑO 2 (%)</t>
  </si>
  <si>
    <t>TRI / AÑO3</t>
  </si>
  <si>
    <t>TRI / AÑO3 (%)</t>
  </si>
  <si>
    <t>VENTAS</t>
  </si>
  <si>
    <t>Costos de Venta</t>
  </si>
  <si>
    <t>Ut. Bruta</t>
  </si>
  <si>
    <t>Gastos de Op.</t>
  </si>
  <si>
    <t>UT. De operación</t>
  </si>
  <si>
    <t>Gastos Fin.</t>
  </si>
  <si>
    <t>Otros productos</t>
  </si>
  <si>
    <t>Otros Gastos</t>
  </si>
  <si>
    <t>UT. Antes de impuestos</t>
  </si>
  <si>
    <t>Impuestos</t>
  </si>
  <si>
    <t>UTILIDAD NETA</t>
  </si>
  <si>
    <t>BALANCE GENERAL</t>
  </si>
  <si>
    <t>Activo Circulante</t>
  </si>
  <si>
    <t>Efectivo y Equivalentes</t>
  </si>
  <si>
    <t>Inventarios</t>
  </si>
  <si>
    <t>Clientes</t>
  </si>
  <si>
    <t>Deudores Diversos</t>
  </si>
  <si>
    <t>Activo Fijo</t>
  </si>
  <si>
    <t>Terrenos y Edificios</t>
  </si>
  <si>
    <t>Maquinaria y Equipo</t>
  </si>
  <si>
    <t>Equipo de Transporte</t>
  </si>
  <si>
    <t>Otros Activos</t>
  </si>
  <si>
    <t>Intangibles (registro de marca)</t>
  </si>
  <si>
    <t>ACTIVO TOTAL</t>
  </si>
  <si>
    <t>Pasivo Circulante</t>
  </si>
  <si>
    <t>Proveedores</t>
  </si>
  <si>
    <t>Acreedores Div.</t>
  </si>
  <si>
    <t>Docs. x pagar CP</t>
  </si>
  <si>
    <t>Pasivo Largo Plazo</t>
  </si>
  <si>
    <t>Docs. X pagar LP</t>
  </si>
  <si>
    <t>Otros Pasivos</t>
  </si>
  <si>
    <t>PASIVO TOTAL</t>
  </si>
  <si>
    <t>Capital Social</t>
  </si>
  <si>
    <t>Ut Ejercicios anterioes</t>
  </si>
  <si>
    <t>CAPITAL CONTABLE</t>
  </si>
  <si>
    <t>PASIVO TOTAL + CAPITAL CONTABLE</t>
  </si>
  <si>
    <t>FLUJO DE  EFECTIVO</t>
  </si>
  <si>
    <t>FLUJO DE ACTIVIDADES DE OPERACIÓN</t>
  </si>
  <si>
    <t>Utilidad Neta</t>
  </si>
  <si>
    <t>+ Depreciación</t>
  </si>
  <si>
    <t>Flujo antes de capital de trabajo</t>
  </si>
  <si>
    <t>(-) Aumento en Cuentas por Cobrar</t>
  </si>
  <si>
    <t>(-) Aumento en Inventarios</t>
  </si>
  <si>
    <t>(+) Aumento en Proveedores</t>
  </si>
  <si>
    <t>Flujo Neto de Operación</t>
  </si>
  <si>
    <t>FLUJO DE ACTIVIDADES DE INVERSIÓN</t>
  </si>
  <si>
    <t>Compra de Activo Fijo</t>
  </si>
  <si>
    <t>Flujo Neto de Inversión</t>
  </si>
  <si>
    <t>FLUJO DE ACTIVIDADES DE FINANCIAMIENTO</t>
  </si>
  <si>
    <t>Pago Deuda Corto Plazo</t>
  </si>
  <si>
    <t>Pago Deuda Largo Plazo</t>
  </si>
  <si>
    <t>Flujo Neto de Financiamiento</t>
  </si>
  <si>
    <t>VARIACIÓN NETA DE EFECTIVO</t>
  </si>
  <si>
    <t>Efectivo Inicial</t>
  </si>
  <si>
    <t>EFECTIVO FINAL</t>
  </si>
  <si>
    <t>CUENTAS DE BANCO EN MONEDA LOCAL</t>
  </si>
  <si>
    <t>Banco 1</t>
  </si>
  <si>
    <t>Banco 2</t>
  </si>
  <si>
    <t>Banco 3</t>
  </si>
  <si>
    <t>TOTALES EN PESOS</t>
  </si>
  <si>
    <t>Año</t>
  </si>
  <si>
    <t>Mes</t>
  </si>
  <si>
    <t>Ingresos</t>
  </si>
  <si>
    <t>Egresos</t>
  </si>
  <si>
    <t>Saldos 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</si>
  <si>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</si>
  <si>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</si>
  <si>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</si>
  <si>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</si>
  <si>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</si>
  <si>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</si>
  <si>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</si>
  <si>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</si>
  <si>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</si>
  <si>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</si>
  <si>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</si>
  <si>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</si>
  <si>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</si>
  <si>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CUENTAS DE BANCO EN MONEDA EXTRANJERA</t>
  </si>
  <si>
    <t>TOTALES EN DOLARES</t>
  </si>
  <si>
    <t>TOTAL GENERAL</t>
  </si>
  <si>
    <t xml:space="preserve">CONVERSION USD A MX </t>
  </si>
  <si>
    <t>PESOS X DÓLAR:</t>
  </si>
  <si>
    <t>TOTAL CUENTAS EN DOLARES</t>
  </si>
  <si>
    <t>TOTAL CUENTAS EN PESOS</t>
  </si>
  <si>
    <t>Saldo Promedio</t>
  </si>
  <si>
    <r>
      <rPr>
        <b val="1"/>
        <sz val="11"/>
        <color indexed="8"/>
        <rFont val="Aptos Narrow"/>
      </rPr>
      <t>Enero</t>
    </r>
  </si>
  <si>
    <r>
      <rPr>
        <b val="1"/>
        <sz val="11"/>
        <color indexed="8"/>
        <rFont val="Aptos Narrow"/>
      </rPr>
      <t>Febrero</t>
    </r>
  </si>
  <si>
    <r>
      <rPr>
        <b val="1"/>
        <sz val="11"/>
        <color indexed="8"/>
        <rFont val="Aptos Narrow"/>
      </rPr>
      <t>Marzo</t>
    </r>
  </si>
  <si>
    <r>
      <rPr>
        <b val="1"/>
        <sz val="11"/>
        <color indexed="8"/>
        <rFont val="Aptos Narrow"/>
      </rPr>
      <t>Abril</t>
    </r>
  </si>
  <si>
    <r>
      <rPr>
        <b val="1"/>
        <sz val="11"/>
        <color indexed="8"/>
        <rFont val="Aptos Narrow"/>
      </rPr>
      <t>Mayo</t>
    </r>
  </si>
  <si>
    <r>
      <rPr>
        <b val="1"/>
        <sz val="11"/>
        <color indexed="8"/>
        <rFont val="Aptos Narrow"/>
      </rPr>
      <t>Junio</t>
    </r>
  </si>
  <si>
    <r>
      <rPr>
        <b val="1"/>
        <sz val="11"/>
        <color indexed="8"/>
        <rFont val="Aptos Narrow"/>
      </rPr>
      <t>Julio</t>
    </r>
  </si>
  <si>
    <r>
      <rPr>
        <b val="1"/>
        <sz val="11"/>
        <color indexed="8"/>
        <rFont val="Aptos Narrow"/>
      </rPr>
      <t>Agosto</t>
    </r>
  </si>
  <si>
    <r>
      <rPr>
        <b val="1"/>
        <sz val="11"/>
        <color indexed="8"/>
        <rFont val="Aptos Narrow"/>
      </rPr>
      <t>Septiembre</t>
    </r>
  </si>
  <si>
    <r>
      <rPr>
        <b val="1"/>
        <sz val="11"/>
        <color indexed="8"/>
        <rFont val="Aptos Narrow"/>
      </rPr>
      <t>Octubre</t>
    </r>
  </si>
  <si>
    <r>
      <rPr>
        <b val="1"/>
        <sz val="11"/>
        <color indexed="8"/>
        <rFont val="Aptos Narrow"/>
      </rPr>
      <t>Noviembre</t>
    </r>
  </si>
  <si>
    <r>
      <rPr>
        <b val="1"/>
        <sz val="11"/>
        <color indexed="8"/>
        <rFont val="Aptos Narrow"/>
      </rPr>
      <t>Diciembre</t>
    </r>
  </si>
  <si>
    <t>SISTEMA DE VALORACIÓN CREDITICIA PARA "CRECIMIENTO"</t>
  </si>
  <si>
    <t>1.0 PONDERACIÓN GENERAL</t>
  </si>
  <si>
    <t>PESO</t>
  </si>
  <si>
    <t>CALIFICACIÓN</t>
  </si>
  <si>
    <t>CALIFICACIÓN PONDERADA</t>
  </si>
  <si>
    <t>Liquidez</t>
  </si>
  <si>
    <t>Rentabilidad</t>
  </si>
  <si>
    <t>Apalancamiento</t>
  </si>
  <si>
    <t>Capacidad de Pago</t>
  </si>
  <si>
    <t>ESG + Buro + Perfil</t>
  </si>
  <si>
    <t>TOTAL</t>
  </si>
  <si>
    <t>1.1 LIQUIDEZ</t>
  </si>
  <si>
    <t>RESULTADO</t>
  </si>
  <si>
    <t>Liquidez Corriente</t>
  </si>
  <si>
    <t>Capital de Trabajo / Ventas</t>
  </si>
  <si>
    <t>1.2 Rentabilidad</t>
  </si>
  <si>
    <t>Margen EBITDA/Operación</t>
  </si>
  <si>
    <t xml:space="preserve">Crecimiento en Ventas </t>
  </si>
  <si>
    <t>1.3 Apalancamiento</t>
  </si>
  <si>
    <t>Deuda Neta /EBITDA</t>
  </si>
  <si>
    <t xml:space="preserve">Pasivo Total /Capital </t>
  </si>
  <si>
    <t>1.4 Capacidad de Pago</t>
  </si>
  <si>
    <t>DSCR</t>
  </si>
  <si>
    <t>Cobertura de Cuota Mensual</t>
  </si>
  <si>
    <t>Deuda Total / Ventas</t>
  </si>
  <si>
    <t>1.5 ESG + Buro + Perfil</t>
  </si>
  <si>
    <t>Buro de Crédito</t>
  </si>
  <si>
    <t>Experiencia en el Giro del Empresario (AÑOS, CUALITATIVO)</t>
  </si>
  <si>
    <t>Formalidad Financiera (CUALITATIVO)</t>
  </si>
  <si>
    <t>ESG (CUALITATIVO)</t>
  </si>
  <si>
    <t>2.0 CALIFIACIÓN DE RIESGO</t>
  </si>
  <si>
    <t>CALIFIACIÓN PONDERADA</t>
  </si>
  <si>
    <t>CALIFIACIÓN DE RIESGO</t>
  </si>
  <si>
    <t>RAZÓN</t>
  </si>
  <si>
    <t>BUENO (100)</t>
  </si>
  <si>
    <t>MEDIO (70)</t>
  </si>
  <si>
    <t>MALO (50)</t>
  </si>
  <si>
    <t>CRÍTICO (30)</t>
  </si>
  <si>
    <t>FORMULAS</t>
  </si>
  <si>
    <t>1.5 – 2.5</t>
  </si>
  <si>
    <t>1.0 – 1.49</t>
  </si>
  <si>
    <t>&lt;1.0</t>
  </si>
  <si>
    <t>&gt;3</t>
  </si>
  <si>
    <t>Activo Circulante / Pasico CP</t>
  </si>
  <si>
    <t>Capital Trabajo / Ventas</t>
  </si>
  <si>
    <t>&gt;10%</t>
  </si>
  <si>
    <t>0% – 9.99%</t>
  </si>
  <si>
    <t>&lt;0%</t>
  </si>
  <si>
    <t>—</t>
  </si>
  <si>
    <t>(Activo Circulante - Pasivo CP) / Ventas</t>
  </si>
  <si>
    <t>1.2 RENTABILIDAD</t>
  </si>
  <si>
    <t>Margen EBITDA</t>
  </si>
  <si>
    <t>&gt;20%</t>
  </si>
  <si>
    <t>10% – 20%</t>
  </si>
  <si>
    <t>&lt;10%</t>
  </si>
  <si>
    <t>EBITDA / Ventas</t>
  </si>
  <si>
    <t>Crecimiento Ventas (2 años)</t>
  </si>
  <si>
    <t>&gt;5% anual</t>
  </si>
  <si>
    <t>-5% a 5%</t>
  </si>
  <si>
    <t>-5% a -15%</t>
  </si>
  <si>
    <t>&lt;-15%</t>
  </si>
  <si>
    <t>(Crecimiento1 + Crecimiento2)/2</t>
  </si>
  <si>
    <t>1.3 APALANCAMIENTO</t>
  </si>
  <si>
    <t>Deuda Neta / EBITDA</t>
  </si>
  <si>
    <t>&lt;2.5x</t>
  </si>
  <si>
    <t>2.5x – 4.0x</t>
  </si>
  <si>
    <t>&gt;4.0x</t>
  </si>
  <si>
    <t>&gt;5x</t>
  </si>
  <si>
    <t>Pasivo Total / Capital</t>
  </si>
  <si>
    <t>1.0 – 2.0</t>
  </si>
  <si>
    <t>&gt;2.0</t>
  </si>
  <si>
    <t>&gt;2.5</t>
  </si>
  <si>
    <t>Deuda Total / Capital</t>
  </si>
  <si>
    <t>1.4 CAPACIDAD DE PAGO</t>
  </si>
  <si>
    <t>≥1.5</t>
  </si>
  <si>
    <t>1.2 – 1.49</t>
  </si>
  <si>
    <t>&lt;1.2</t>
  </si>
  <si>
    <t>&lt;1</t>
  </si>
  <si>
    <t>Flujo Operativo / Servicio de Deuda</t>
  </si>
  <si>
    <t>Cobertura Cuota Mensual</t>
  </si>
  <si>
    <t>≥2.0x</t>
  </si>
  <si>
    <t>1.5x – 1.99x</t>
  </si>
  <si>
    <t>1.2x – 1.49x</t>
  </si>
  <si>
    <t>&lt;1.2x</t>
  </si>
  <si>
    <t>Flujo Mensual / Cuota Mensual</t>
  </si>
  <si>
    <t>&lt;30%</t>
  </si>
  <si>
    <t>30% – 50%</t>
  </si>
  <si>
    <t>50% – 70%</t>
  </si>
  <si>
    <t>&gt;70%</t>
  </si>
  <si>
    <t>Buró de Crédito</t>
  </si>
  <si>
    <t>≥700</t>
  </si>
  <si>
    <t>650 – 699</t>
  </si>
  <si>
    <t>600 – 649</t>
  </si>
  <si>
    <t>&lt;600</t>
  </si>
  <si>
    <t>Score de Buro</t>
  </si>
  <si>
    <t>Experiencia en el Giro</t>
  </si>
  <si>
    <t>&gt;7 años</t>
  </si>
  <si>
    <t>4 – 7 años</t>
  </si>
  <si>
    <t>2 – 3 años</t>
  </si>
  <si>
    <t>&lt;2 años</t>
  </si>
  <si>
    <t>Años en el Giro</t>
  </si>
  <si>
    <t>Total formalidad</t>
  </si>
  <si>
    <t>Parcial</t>
  </si>
  <si>
    <t>Básica</t>
  </si>
  <si>
    <t>Informal</t>
  </si>
  <si>
    <t>Escala Cualitativa (Total, Parcial, etc.)</t>
  </si>
  <si>
    <t>ESG (Cualitativo)</t>
  </si>
  <si>
    <t>≥80</t>
  </si>
  <si>
    <t>60 – 79</t>
  </si>
  <si>
    <t>40 – 59</t>
  </si>
  <si>
    <t>&lt;40</t>
  </si>
  <si>
    <t>Score ESG</t>
  </si>
  <si>
    <t>SCORE CREDITICIO</t>
  </si>
  <si>
    <t>1.5 ESG + BURO + PERFIL</t>
  </si>
  <si>
    <t>1.1 Razones de Liquidez</t>
  </si>
  <si>
    <t>PUNTOS</t>
  </si>
  <si>
    <t>CLASIFICACIÓN</t>
  </si>
  <si>
    <t>1.2 Razones de Rentabilidad</t>
  </si>
  <si>
    <t>Crecimiento en Ventas (2 Años)</t>
  </si>
  <si>
    <t>1.3 Razones de Apalancamiento</t>
  </si>
  <si>
    <t>Deuda Total /EBITDA</t>
  </si>
  <si>
    <t>Deuda Total /Capital Contable</t>
  </si>
  <si>
    <t>Crítico</t>
  </si>
  <si>
    <t>Experiencia</t>
  </si>
  <si>
    <t>Formalidad</t>
  </si>
  <si>
    <t>ESG</t>
  </si>
  <si>
    <t>COMENTARIOS:</t>
  </si>
</sst>
</file>

<file path=xl/styles.xml><?xml version="1.0" encoding="utf-8"?>
<styleSheet xmlns="http://schemas.openxmlformats.org/spreadsheetml/2006/main">
  <numFmts count="10">
    <numFmt numFmtId="0" formatCode="General"/>
    <numFmt numFmtId="59" formatCode="&quot; &quot;&quot;$&quot;* #,##0.0&quot; &quot;;&quot;-&quot;&quot;$&quot;* #,##0.0&quot; &quot;;&quot; &quot;&quot;$&quot;* &quot;-&quot;??&quot; &quot;"/>
    <numFmt numFmtId="60" formatCode="&quot; &quot;* #,##0.00&quot; &quot;;&quot;-&quot;* #,##0.00&quot; &quot;;&quot; &quot;* &quot;-&quot;??&quot; &quot;"/>
    <numFmt numFmtId="61" formatCode="&quot; &quot;&quot;$&quot;* #,##0.00&quot; &quot;;&quot;-&quot;&quot;$&quot;* #,##0.00&quot; &quot;;&quot; &quot;&quot;$&quot;* &quot;-&quot;??&quot; &quot;"/>
    <numFmt numFmtId="62" formatCode="&quot; &quot;[$$-409]* #,##0.00&quot; &quot;;&quot; &quot;[$$-409]* &quot;-&quot;#,##0.00&quot; &quot;;&quot; &quot;[$$-409]* &quot;-&quot;??&quot; &quot;"/>
    <numFmt numFmtId="63" formatCode="[$$-409]0.00"/>
    <numFmt numFmtId="64" formatCode="[$$-409]#,##0.00"/>
    <numFmt numFmtId="65" formatCode="0.0"/>
    <numFmt numFmtId="66" formatCode="0.0%"/>
    <numFmt numFmtId="67" formatCode="&quot; &quot;&quot;$&quot;#,##0.0&quot; &quot;;&quot;-&quot;&quot;$&quot;#,##0.0&quot; &quot;;&quot; &quot;&quot;$&quot;&quot;-&quot;??&quot; &quot;"/>
  </numFmts>
  <fonts count="2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5"/>
      <color indexed="8"/>
      <name val="Calibri"/>
    </font>
    <font>
      <b val="1"/>
      <sz val="11"/>
      <color indexed="8"/>
      <name val="Aptos Narrow"/>
    </font>
    <font>
      <i val="1"/>
      <sz val="8"/>
      <color indexed="8"/>
      <name val="Aptos Narrow"/>
    </font>
    <font>
      <b val="1"/>
      <sz val="11"/>
      <color indexed="8"/>
      <name val="Calibri"/>
    </font>
    <font>
      <b val="1"/>
      <sz val="11"/>
      <color indexed="11"/>
      <name val="Calibri"/>
    </font>
    <font>
      <sz val="11"/>
      <color indexed="8"/>
      <name val="Calibri"/>
    </font>
    <font>
      <b val="1"/>
      <sz val="16"/>
      <color indexed="8"/>
      <name val="Calibri"/>
    </font>
    <font>
      <sz val="12"/>
      <color indexed="8"/>
      <name val="Calibri"/>
    </font>
    <font>
      <b val="1"/>
      <sz val="20"/>
      <color indexed="8"/>
      <name val="Calibri"/>
    </font>
    <font>
      <sz val="12"/>
      <color indexed="11"/>
      <name val="Calibri"/>
    </font>
    <font>
      <b val="1"/>
      <sz val="12"/>
      <color indexed="8"/>
      <name val="Calibri"/>
    </font>
    <font>
      <b val="1"/>
      <sz val="14"/>
      <color indexed="11"/>
      <name val="Calibri"/>
    </font>
    <font>
      <b val="1"/>
      <sz val="12"/>
      <color indexed="11"/>
      <name val="Calibri"/>
    </font>
    <font>
      <b val="1"/>
      <sz val="14"/>
      <color indexed="13"/>
      <name val="Calibri"/>
    </font>
    <font>
      <i val="1"/>
      <sz val="11"/>
      <color indexed="8"/>
      <name val="Calibri"/>
    </font>
    <font>
      <b val="1"/>
      <sz val="28"/>
      <color indexed="8"/>
      <name val="Aptos Narrow"/>
    </font>
    <font>
      <b val="1"/>
      <sz val="11"/>
      <color indexed="11"/>
      <name val="Aptos Narrow"/>
    </font>
    <font>
      <sz val="10"/>
      <color indexed="8"/>
      <name val="Arial Unicode MS"/>
    </font>
    <font>
      <b val="1"/>
      <sz val="20"/>
      <color indexed="8"/>
      <name val="Aptos Narrow"/>
    </font>
    <font>
      <sz val="10"/>
      <color indexed="8"/>
      <name val="Aptos Narrow"/>
    </font>
    <font>
      <sz val="18"/>
      <color indexed="8"/>
      <name val="Aptos Narrow"/>
    </font>
    <font>
      <b val="1"/>
      <sz val="9"/>
      <color indexed="8"/>
      <name val="Aptos Narrow"/>
    </font>
    <font>
      <b val="1"/>
      <sz val="10"/>
      <color indexed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</fills>
  <borders count="63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9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medium">
        <color indexed="8"/>
      </left>
      <right style="thin">
        <color indexed="9"/>
      </right>
      <top/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vertical="bottom"/>
    </xf>
    <xf numFmtId="0" fontId="3" fillId="2" borderId="10" applyNumberFormat="0" applyFont="1" applyFill="1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49" fontId="5" borderId="8" applyNumberFormat="1" applyFont="1" applyFill="0" applyBorder="1" applyAlignment="1" applyProtection="0">
      <alignment horizontal="right" vertical="bottom"/>
    </xf>
    <xf numFmtId="49" fontId="0" borderId="12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4" borderId="12" applyNumberFormat="1" applyFont="1" applyFill="0" applyBorder="1" applyAlignment="1" applyProtection="0">
      <alignment vertical="bottom"/>
    </xf>
    <xf numFmtId="9" fontId="0" borderId="13" applyNumberFormat="1" applyFont="1" applyFill="0" applyBorder="1" applyAlignment="1" applyProtection="0">
      <alignment vertical="bottom"/>
    </xf>
    <xf numFmtId="3" fontId="0" borderId="13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3" fontId="0" borderId="1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3" fillId="2" borderId="15" applyNumberFormat="0" applyFont="1" applyFill="1" applyBorder="1" applyAlignment="1" applyProtection="0">
      <alignment vertical="bottom"/>
    </xf>
    <xf numFmtId="59" fontId="3" fillId="2" borderId="15" applyNumberFormat="1" applyFont="1" applyFill="1" applyBorder="1" applyAlignment="1" applyProtection="0">
      <alignment vertical="bottom"/>
    </xf>
    <xf numFmtId="0" fontId="6" fillId="3" borderId="20" applyNumberFormat="0" applyFont="1" applyFill="1" applyBorder="1" applyAlignment="1" applyProtection="0">
      <alignment vertical="bottom"/>
    </xf>
    <xf numFmtId="49" fontId="7" fillId="4" borderId="9" applyNumberFormat="1" applyFont="1" applyFill="1" applyBorder="1" applyAlignment="1" applyProtection="0">
      <alignment horizontal="center" vertical="bottom"/>
    </xf>
    <xf numFmtId="49" fontId="7" fillId="4" borderId="15" applyNumberFormat="1" applyFont="1" applyFill="1" applyBorder="1" applyAlignment="1" applyProtection="0">
      <alignment horizontal="center" vertical="bottom"/>
    </xf>
    <xf numFmtId="49" fontId="7" fillId="4" borderId="10" applyNumberFormat="1" applyFont="1" applyFill="1" applyBorder="1" applyAlignment="1" applyProtection="0">
      <alignment horizontal="center" vertical="bottom"/>
    </xf>
    <xf numFmtId="0" fontId="6" fillId="3" borderId="21" applyNumberFormat="0" applyFont="1" applyFill="1" applyBorder="1" applyAlignment="1" applyProtection="0">
      <alignment vertical="bottom"/>
    </xf>
    <xf numFmtId="59" fontId="6" fillId="3" borderId="9" applyNumberFormat="1" applyFont="1" applyFill="1" applyBorder="1" applyAlignment="1" applyProtection="0">
      <alignment vertical="bottom"/>
    </xf>
    <xf numFmtId="59" fontId="6" fillId="3" borderId="15" applyNumberFormat="1" applyFont="1" applyFill="1" applyBorder="1" applyAlignment="1" applyProtection="0">
      <alignment vertical="bottom"/>
    </xf>
    <xf numFmtId="59" fontId="6" fillId="3" borderId="10" applyNumberFormat="1" applyFont="1" applyFill="1" applyBorder="1" applyAlignment="1" applyProtection="0">
      <alignment vertical="bottom"/>
    </xf>
    <xf numFmtId="49" fontId="6" fillId="3" borderId="11" applyNumberFormat="1" applyFont="1" applyFill="1" applyBorder="1" applyAlignment="1" applyProtection="0">
      <alignment vertical="bottom"/>
    </xf>
    <xf numFmtId="59" fontId="6" fillId="3" borderId="11" applyNumberFormat="1" applyFont="1" applyFill="1" applyBorder="1" applyAlignment="1" applyProtection="0">
      <alignment horizontal="center" vertical="bottom"/>
    </xf>
    <xf numFmtId="9" fontId="6" fillId="3" borderId="11" applyNumberFormat="1" applyFont="1" applyFill="1" applyBorder="1" applyAlignment="1" applyProtection="0">
      <alignment horizontal="center" vertical="bottom"/>
    </xf>
    <xf numFmtId="49" fontId="0" fillId="3" borderId="20" applyNumberFormat="1" applyFont="1" applyFill="1" applyBorder="1" applyAlignment="1" applyProtection="0">
      <alignment vertical="bottom"/>
    </xf>
    <xf numFmtId="59" fontId="8" fillId="3" borderId="20" applyNumberFormat="1" applyFont="1" applyFill="1" applyBorder="1" applyAlignment="1" applyProtection="0">
      <alignment horizontal="center" vertical="bottom"/>
    </xf>
    <xf numFmtId="9" fontId="8" fillId="3" borderId="20" applyNumberFormat="1" applyFont="1" applyFill="1" applyBorder="1" applyAlignment="1" applyProtection="0">
      <alignment horizontal="center" vertical="bottom"/>
    </xf>
    <xf numFmtId="49" fontId="6" fillId="3" borderId="22" applyNumberFormat="1" applyFont="1" applyFill="1" applyBorder="1" applyAlignment="1" applyProtection="0">
      <alignment vertical="bottom"/>
    </xf>
    <xf numFmtId="59" fontId="6" fillId="3" borderId="22" applyNumberFormat="1" applyFont="1" applyFill="1" applyBorder="1" applyAlignment="1" applyProtection="0">
      <alignment horizontal="center" vertical="bottom"/>
    </xf>
    <xf numFmtId="9" fontId="6" fillId="3" borderId="22" applyNumberFormat="1" applyFont="1" applyFill="1" applyBorder="1" applyAlignment="1" applyProtection="0">
      <alignment horizontal="center" vertical="bottom"/>
    </xf>
    <xf numFmtId="49" fontId="0" fillId="3" borderId="23" applyNumberFormat="1" applyFont="1" applyFill="1" applyBorder="1" applyAlignment="1" applyProtection="0">
      <alignment vertical="bottom"/>
    </xf>
    <xf numFmtId="59" fontId="8" fillId="3" borderId="23" applyNumberFormat="1" applyFont="1" applyFill="1" applyBorder="1" applyAlignment="1" applyProtection="0">
      <alignment horizontal="center" vertical="bottom"/>
    </xf>
    <xf numFmtId="9" fontId="8" fillId="3" borderId="23" applyNumberFormat="1" applyFont="1" applyFill="1" applyBorder="1" applyAlignment="1" applyProtection="0">
      <alignment horizontal="center" vertical="bottom"/>
    </xf>
    <xf numFmtId="49" fontId="0" fillId="3" borderId="24" applyNumberFormat="1" applyFont="1" applyFill="1" applyBorder="1" applyAlignment="1" applyProtection="0">
      <alignment vertical="bottom"/>
    </xf>
    <xf numFmtId="59" fontId="8" fillId="3" borderId="24" applyNumberFormat="1" applyFont="1" applyFill="1" applyBorder="1" applyAlignment="1" applyProtection="0">
      <alignment horizontal="center" vertical="bottom"/>
    </xf>
    <xf numFmtId="9" fontId="8" fillId="3" borderId="24" applyNumberFormat="1" applyFont="1" applyFill="1" applyBorder="1" applyAlignment="1" applyProtection="0">
      <alignment horizontal="center" vertical="bottom"/>
    </xf>
    <xf numFmtId="49" fontId="6" fillId="3" borderId="21" applyNumberFormat="1" applyFont="1" applyFill="1" applyBorder="1" applyAlignment="1" applyProtection="0">
      <alignment vertical="bottom"/>
    </xf>
    <xf numFmtId="59" fontId="6" fillId="3" borderId="21" applyNumberFormat="1" applyFont="1" applyFill="1" applyBorder="1" applyAlignment="1" applyProtection="0">
      <alignment horizontal="center" vertical="bottom"/>
    </xf>
    <xf numFmtId="9" fontId="6" fillId="3" borderId="21" applyNumberFormat="1" applyFont="1" applyFill="1" applyBorder="1" applyAlignment="1" applyProtection="0">
      <alignment horizontal="center" vertical="bottom"/>
    </xf>
    <xf numFmtId="0" fontId="6" fillId="3" borderId="15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6" fillId="3" borderId="20" applyNumberFormat="0" applyFont="1" applyFill="1" applyBorder="1" applyAlignment="1" applyProtection="0">
      <alignment horizontal="left" vertical="bottom"/>
    </xf>
    <xf numFmtId="0" fontId="6" fillId="3" borderId="21" applyNumberFormat="0" applyFont="1" applyFill="1" applyBorder="1" applyAlignment="1" applyProtection="0">
      <alignment horizontal="left" vertical="bottom"/>
    </xf>
    <xf numFmtId="49" fontId="6" fillId="3" borderId="12" applyNumberFormat="1" applyFont="1" applyFill="1" applyBorder="1" applyAlignment="1" applyProtection="0">
      <alignment vertical="bottom"/>
    </xf>
    <xf numFmtId="59" fontId="6" fillId="3" borderId="12" applyNumberFormat="1" applyFont="1" applyFill="1" applyBorder="1" applyAlignment="1" applyProtection="0">
      <alignment horizontal="center" vertical="bottom"/>
    </xf>
    <xf numFmtId="9" fontId="6" fillId="3" borderId="12" applyNumberFormat="1" applyFont="1" applyFill="1" applyBorder="1" applyAlignment="1" applyProtection="0">
      <alignment horizontal="center" vertical="bottom"/>
    </xf>
    <xf numFmtId="59" fontId="6" fillId="3" borderId="23" applyNumberFormat="1" applyFont="1" applyFill="1" applyBorder="1" applyAlignment="1" applyProtection="0">
      <alignment horizontal="center" vertical="bottom"/>
    </xf>
    <xf numFmtId="0" fontId="0" fillId="3" borderId="14" applyNumberFormat="0" applyFont="1" applyFill="1" applyBorder="1" applyAlignment="1" applyProtection="0">
      <alignment vertical="bottom"/>
    </xf>
    <xf numFmtId="59" fontId="8" fillId="3" borderId="14" applyNumberFormat="1" applyFont="1" applyFill="1" applyBorder="1" applyAlignment="1" applyProtection="0">
      <alignment horizontal="center" vertical="bottom"/>
    </xf>
    <xf numFmtId="9" fontId="8" fillId="3" borderId="14" applyNumberFormat="1" applyFont="1" applyFill="1" applyBorder="1" applyAlignment="1" applyProtection="0">
      <alignment horizontal="center" vertical="bottom"/>
    </xf>
    <xf numFmtId="49" fontId="6" fillId="3" borderId="14" applyNumberFormat="1" applyFont="1" applyFill="1" applyBorder="1" applyAlignment="1" applyProtection="0">
      <alignment vertical="bottom"/>
    </xf>
    <xf numFmtId="59" fontId="6" fillId="3" borderId="14" applyNumberFormat="1" applyFont="1" applyFill="1" applyBorder="1" applyAlignment="1" applyProtection="0">
      <alignment horizontal="center" vertical="bottom"/>
    </xf>
    <xf numFmtId="9" fontId="6" fillId="3" borderId="14" applyNumberFormat="1" applyFont="1" applyFill="1" applyBorder="1" applyAlignment="1" applyProtection="0">
      <alignment horizontal="center" vertical="bottom"/>
    </xf>
    <xf numFmtId="59" fontId="8" fillId="3" borderId="15" applyNumberFormat="1" applyFont="1" applyFill="1" applyBorder="1" applyAlignment="1" applyProtection="0">
      <alignment horizontal="center" vertical="bottom"/>
    </xf>
    <xf numFmtId="9" fontId="8" fillId="3" borderId="15" applyNumberFormat="1" applyFont="1" applyFill="1" applyBorder="1" applyAlignment="1" applyProtection="0">
      <alignment horizontal="center" vertical="bottom"/>
    </xf>
    <xf numFmtId="9" fontId="8" fillId="3" borderId="16" applyNumberFormat="1" applyFont="1" applyFill="1" applyBorder="1" applyAlignment="1" applyProtection="0">
      <alignment horizontal="center" vertical="bottom"/>
    </xf>
    <xf numFmtId="59" fontId="8" fillId="2" borderId="15" applyNumberFormat="1" applyFont="1" applyFill="1" applyBorder="1" applyAlignment="1" applyProtection="0">
      <alignment horizontal="center" vertical="bottom"/>
    </xf>
    <xf numFmtId="9" fontId="8" fillId="2" borderId="15" applyNumberFormat="1" applyFont="1" applyFill="1" applyBorder="1" applyAlignment="1" applyProtection="0">
      <alignment horizontal="center" vertical="bottom"/>
    </xf>
    <xf numFmtId="9" fontId="8" fillId="2" borderId="10" applyNumberFormat="1" applyFont="1" applyFill="1" applyBorder="1" applyAlignment="1" applyProtection="0">
      <alignment horizontal="center" vertical="bottom"/>
    </xf>
    <xf numFmtId="0" fontId="6" fillId="3" borderId="25" applyNumberFormat="0" applyFont="1" applyFill="1" applyBorder="1" applyAlignment="1" applyProtection="0">
      <alignment horizontal="left" vertical="bottom"/>
    </xf>
    <xf numFmtId="49" fontId="6" fillId="3" borderId="26" applyNumberFormat="1" applyFont="1" applyFill="1" applyBorder="1" applyAlignment="1" applyProtection="0">
      <alignment horizontal="center" vertical="bottom"/>
    </xf>
    <xf numFmtId="9" fontId="6" fillId="3" borderId="26" applyNumberFormat="1" applyFont="1" applyFill="1" applyBorder="1" applyAlignment="1" applyProtection="0">
      <alignment horizontal="center" vertical="bottom"/>
    </xf>
    <xf numFmtId="9" fontId="6" fillId="3" borderId="27" applyNumberFormat="1" applyFont="1" applyFill="1" applyBorder="1" applyAlignment="1" applyProtection="0">
      <alignment horizontal="center" vertical="bottom"/>
    </xf>
    <xf numFmtId="0" fontId="0" fillId="3" borderId="28" applyNumberFormat="0" applyFont="1" applyFill="1" applyBorder="1" applyAlignment="1" applyProtection="0">
      <alignment vertical="bottom"/>
    </xf>
    <xf numFmtId="59" fontId="8" fillId="3" borderId="29" applyNumberFormat="1" applyFont="1" applyFill="1" applyBorder="1" applyAlignment="1" applyProtection="0">
      <alignment horizontal="center" vertical="bottom"/>
    </xf>
    <xf numFmtId="9" fontId="8" fillId="3" borderId="29" applyNumberFormat="1" applyFont="1" applyFill="1" applyBorder="1" applyAlignment="1" applyProtection="0">
      <alignment horizontal="center" vertical="bottom"/>
    </xf>
    <xf numFmtId="9" fontId="8" fillId="3" borderId="30" applyNumberFormat="1" applyFont="1" applyFill="1" applyBorder="1" applyAlignment="1" applyProtection="0">
      <alignment horizontal="center" vertical="bottom"/>
    </xf>
    <xf numFmtId="49" fontId="4" fillId="3" borderId="31" applyNumberFormat="1" applyFont="1" applyFill="1" applyBorder="1" applyAlignment="1" applyProtection="0">
      <alignment vertical="center" wrapText="1"/>
    </xf>
    <xf numFmtId="59" fontId="8" fillId="3" borderId="5" applyNumberFormat="1" applyFont="1" applyFill="1" applyBorder="1" applyAlignment="1" applyProtection="0">
      <alignment horizontal="center" vertical="bottom"/>
    </xf>
    <xf numFmtId="9" fontId="8" fillId="3" borderId="5" applyNumberFormat="1" applyFont="1" applyFill="1" applyBorder="1" applyAlignment="1" applyProtection="0">
      <alignment horizontal="center" vertical="bottom"/>
    </xf>
    <xf numFmtId="9" fontId="8" fillId="3" borderId="8" applyNumberFormat="1" applyFont="1" applyFill="1" applyBorder="1" applyAlignment="1" applyProtection="0">
      <alignment horizontal="center" vertical="bottom"/>
    </xf>
    <xf numFmtId="49" fontId="0" fillId="3" borderId="31" applyNumberFormat="1" applyFont="1" applyFill="1" applyBorder="1" applyAlignment="1" applyProtection="0">
      <alignment vertical="center" wrapText="1"/>
    </xf>
    <xf numFmtId="49" fontId="4" fillId="3" borderId="32" applyNumberFormat="1" applyFont="1" applyFill="1" applyBorder="1" applyAlignment="1" applyProtection="0">
      <alignment vertical="center" wrapText="1"/>
    </xf>
    <xf numFmtId="59" fontId="8" fillId="3" borderId="33" applyNumberFormat="1" applyFont="1" applyFill="1" applyBorder="1" applyAlignment="1" applyProtection="0">
      <alignment horizontal="center" vertical="bottom"/>
    </xf>
    <xf numFmtId="9" fontId="8" fillId="3" borderId="33" applyNumberFormat="1" applyFont="1" applyFill="1" applyBorder="1" applyAlignment="1" applyProtection="0">
      <alignment horizontal="center" vertical="bottom"/>
    </xf>
    <xf numFmtId="9" fontId="8" fillId="3" borderId="34" applyNumberFormat="1" applyFont="1" applyFill="1" applyBorder="1" applyAlignment="1" applyProtection="0">
      <alignment horizontal="center" vertical="bottom"/>
    </xf>
    <xf numFmtId="49" fontId="0" fillId="3" borderId="28" applyNumberFormat="1" applyFont="1" applyFill="1" applyBorder="1" applyAlignment="1" applyProtection="0">
      <alignment vertical="center" wrapText="1"/>
    </xf>
    <xf numFmtId="0" fontId="0" fillId="3" borderId="17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49" fontId="4" fillId="3" borderId="35" applyNumberFormat="1" applyFont="1" applyFill="1" applyBorder="1" applyAlignment="1" applyProtection="0">
      <alignment vertical="center" wrapText="1"/>
    </xf>
    <xf numFmtId="59" fontId="8" fillId="3" borderId="6" applyNumberFormat="1" applyFont="1" applyFill="1" applyBorder="1" applyAlignment="1" applyProtection="0">
      <alignment horizontal="center" vertical="bottom"/>
    </xf>
    <xf numFmtId="9" fontId="8" fillId="3" borderId="6" applyNumberFormat="1" applyFont="1" applyFill="1" applyBorder="1" applyAlignment="1" applyProtection="0">
      <alignment horizontal="center" vertical="bottom"/>
    </xf>
    <xf numFmtId="9" fontId="8" fillId="3" borderId="36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49" fontId="9" fillId="5" borderId="9" applyNumberFormat="1" applyFont="1" applyFill="1" applyBorder="1" applyAlignment="1" applyProtection="0">
      <alignment horizontal="center" vertical="center"/>
    </xf>
    <xf numFmtId="0" fontId="9" fillId="5" borderId="15" applyNumberFormat="0" applyFont="1" applyFill="1" applyBorder="1" applyAlignment="1" applyProtection="0">
      <alignment horizontal="center" vertical="center"/>
    </xf>
    <xf numFmtId="0" fontId="9" fillId="5" borderId="38" applyNumberFormat="0" applyFont="1" applyFill="1" applyBorder="1" applyAlignment="1" applyProtection="0">
      <alignment horizontal="center" vertical="center"/>
    </xf>
    <xf numFmtId="0" fontId="9" fillId="5" borderId="10" applyNumberFormat="0" applyFont="1" applyFill="1" applyBorder="1" applyAlignment="1" applyProtection="0">
      <alignment horizontal="center" vertical="center"/>
    </xf>
    <xf numFmtId="0" fontId="0" borderId="31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vertical="bottom"/>
    </xf>
    <xf numFmtId="0" fontId="0" borderId="40" applyNumberFormat="0" applyFont="1" applyFill="0" applyBorder="1" applyAlignment="1" applyProtection="0">
      <alignment vertical="bottom"/>
    </xf>
    <xf numFmtId="49" fontId="7" fillId="4" borderId="39" applyNumberFormat="1" applyFont="1" applyFill="1" applyBorder="1" applyAlignment="1" applyProtection="0">
      <alignment horizontal="center" vertical="center"/>
    </xf>
    <xf numFmtId="0" fontId="7" fillId="4" borderId="38" applyNumberFormat="0" applyFont="1" applyFill="1" applyBorder="1" applyAlignment="1" applyProtection="0">
      <alignment horizontal="center" vertical="center"/>
    </xf>
    <xf numFmtId="0" fontId="7" fillId="4" borderId="40" applyNumberFormat="0" applyFont="1" applyFill="1" applyBorder="1" applyAlignment="1" applyProtection="0">
      <alignment horizontal="center" vertical="center"/>
    </xf>
    <xf numFmtId="0" fontId="0" borderId="24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6" borderId="8" applyNumberFormat="0" applyFont="1" applyFill="0" applyBorder="1" applyAlignment="1" applyProtection="0">
      <alignment vertical="bottom"/>
    </xf>
    <xf numFmtId="0" fontId="6" borderId="35" applyNumberFormat="0" applyFont="1" applyFill="0" applyBorder="1" applyAlignment="1" applyProtection="0">
      <alignment vertical="bottom"/>
    </xf>
    <xf numFmtId="0" fontId="6" borderId="36" applyNumberFormat="0" applyFont="1" applyFill="0" applyBorder="1" applyAlignment="1" applyProtection="0">
      <alignment vertical="bottom"/>
    </xf>
    <xf numFmtId="0" fontId="7" fillId="4" borderId="35" applyNumberFormat="0" applyFont="1" applyFill="1" applyBorder="1" applyAlignment="1" applyProtection="0">
      <alignment horizontal="center" vertical="center"/>
    </xf>
    <xf numFmtId="0" fontId="7" fillId="4" borderId="6" applyNumberFormat="0" applyFont="1" applyFill="1" applyBorder="1" applyAlignment="1" applyProtection="0">
      <alignment horizontal="center" vertical="center"/>
    </xf>
    <xf numFmtId="0" fontId="7" fillId="4" borderId="36" applyNumberFormat="0" applyFont="1" applyFill="1" applyBorder="1" applyAlignment="1" applyProtection="0">
      <alignment horizontal="center" vertical="center"/>
    </xf>
    <xf numFmtId="0" fontId="6" borderId="24" applyNumberFormat="0" applyFont="1" applyFill="0" applyBorder="1" applyAlignment="1" applyProtection="0">
      <alignment vertical="bottom"/>
    </xf>
    <xf numFmtId="0" fontId="6" borderId="31" applyNumberFormat="0" applyFont="1" applyFill="0" applyBorder="1" applyAlignment="1" applyProtection="0">
      <alignment vertical="bottom"/>
    </xf>
    <xf numFmtId="0" fontId="6" borderId="5" applyNumberFormat="0" applyFont="1" applyFill="0" applyBorder="1" applyAlignment="1" applyProtection="0">
      <alignment vertical="bottom"/>
    </xf>
    <xf numFmtId="0" fontId="6" borderId="37" applyNumberFormat="0" applyFont="1" applyFill="0" applyBorder="1" applyAlignment="1" applyProtection="0">
      <alignment vertical="bottom"/>
    </xf>
    <xf numFmtId="49" fontId="7" fillId="4" borderId="11" applyNumberFormat="1" applyFont="1" applyFill="1" applyBorder="1" applyAlignment="1" applyProtection="0">
      <alignment horizontal="center" vertical="bottom"/>
    </xf>
    <xf numFmtId="49" fontId="7" fillId="4" borderId="12" applyNumberFormat="1" applyFont="1" applyFill="1" applyBorder="1" applyAlignment="1" applyProtection="0">
      <alignment horizontal="center" vertical="bottom"/>
    </xf>
    <xf numFmtId="49" fontId="6" borderId="11" applyNumberFormat="1" applyFont="1" applyFill="0" applyBorder="1" applyAlignment="1" applyProtection="0">
      <alignment horizontal="center" vertical="bottom"/>
    </xf>
    <xf numFmtId="0" fontId="6" borderId="41" applyNumberFormat="1" applyFont="1" applyFill="0" applyBorder="1" applyAlignment="1" applyProtection="0">
      <alignment horizontal="center" vertical="bottom"/>
    </xf>
    <xf numFmtId="49" fontId="4" fillId="3" borderId="42" applyNumberFormat="1" applyFont="1" applyFill="1" applyBorder="1" applyAlignment="1" applyProtection="0">
      <alignment vertical="center" wrapText="1"/>
    </xf>
    <xf numFmtId="0" fontId="0" fillId="3" borderId="43" applyNumberFormat="0" applyFont="1" applyFill="1" applyBorder="1" applyAlignment="1" applyProtection="0">
      <alignment horizontal="center" vertical="center" wrapText="1"/>
    </xf>
    <xf numFmtId="0" fontId="0" fillId="3" borderId="43" applyNumberFormat="1" applyFont="1" applyFill="1" applyBorder="1" applyAlignment="1" applyProtection="0">
      <alignment horizontal="center" vertical="center" wrapText="1"/>
    </xf>
    <xf numFmtId="60" fontId="8" borderId="44" applyNumberFormat="1" applyFont="1" applyFill="0" applyBorder="1" applyAlignment="1" applyProtection="0">
      <alignment horizontal="center" vertical="bottom"/>
    </xf>
    <xf numFmtId="60" fontId="0" borderId="44" applyNumberFormat="1" applyFont="1" applyFill="0" applyBorder="1" applyAlignment="1" applyProtection="0">
      <alignment horizontal="center" vertical="bottom"/>
    </xf>
    <xf numFmtId="60" fontId="0" borderId="43" applyNumberFormat="1" applyFont="1" applyFill="0" applyBorder="1" applyAlignment="1" applyProtection="0">
      <alignment horizontal="center" vertical="bottom"/>
    </xf>
    <xf numFmtId="0" fontId="0" borderId="45" applyNumberFormat="0" applyFont="1" applyFill="0" applyBorder="1" applyAlignment="1" applyProtection="0">
      <alignment vertical="bottom"/>
    </xf>
    <xf numFmtId="0" fontId="6" borderId="46" applyNumberFormat="1" applyFont="1" applyFill="0" applyBorder="1" applyAlignment="1" applyProtection="0">
      <alignment horizontal="center" vertical="bottom"/>
    </xf>
    <xf numFmtId="0" fontId="0" fillId="3" borderId="42" applyNumberFormat="0" applyFont="1" applyFill="1" applyBorder="1" applyAlignment="1" applyProtection="0">
      <alignment horizontal="center" vertical="center" wrapText="1"/>
    </xf>
    <xf numFmtId="0" fontId="0" fillId="3" borderId="42" applyNumberFormat="1" applyFont="1" applyFill="1" applyBorder="1" applyAlignment="1" applyProtection="0">
      <alignment horizontal="center" vertical="center" wrapText="1"/>
    </xf>
    <xf numFmtId="60" fontId="0" borderId="42" applyNumberFormat="1" applyFont="1" applyFill="0" applyBorder="1" applyAlignment="1" applyProtection="0">
      <alignment horizontal="center" vertical="bottom"/>
    </xf>
    <xf numFmtId="0" fontId="6" borderId="47" applyNumberFormat="1" applyFont="1" applyFill="0" applyBorder="1" applyAlignment="1" applyProtection="0">
      <alignment horizontal="center" vertical="bottom"/>
    </xf>
    <xf numFmtId="49" fontId="4" fillId="3" borderId="48" applyNumberFormat="1" applyFont="1" applyFill="1" applyBorder="1" applyAlignment="1" applyProtection="0">
      <alignment vertical="center" wrapText="1"/>
    </xf>
    <xf numFmtId="0" fontId="0" fillId="3" borderId="48" applyNumberFormat="0" applyFont="1" applyFill="1" applyBorder="1" applyAlignment="1" applyProtection="0">
      <alignment horizontal="center" vertical="center" wrapText="1"/>
    </xf>
    <xf numFmtId="0" fontId="0" fillId="3" borderId="48" applyNumberFormat="1" applyFont="1" applyFill="1" applyBorder="1" applyAlignment="1" applyProtection="0">
      <alignment horizontal="center" vertical="center" wrapText="1"/>
    </xf>
    <xf numFmtId="60" fontId="0" borderId="48" applyNumberFormat="1" applyFont="1" applyFill="0" applyBorder="1" applyAlignment="1" applyProtection="0">
      <alignment horizontal="center" vertical="bottom"/>
    </xf>
    <xf numFmtId="49" fontId="6" borderId="9" applyNumberFormat="1" applyFont="1" applyFill="0" applyBorder="1" applyAlignment="1" applyProtection="0">
      <alignment horizontal="center" vertical="bottom"/>
    </xf>
    <xf numFmtId="0" fontId="10" borderId="10" applyNumberFormat="0" applyFont="1" applyFill="0" applyBorder="1" applyAlignment="1" applyProtection="0">
      <alignment vertical="bottom"/>
    </xf>
    <xf numFmtId="61" fontId="6" borderId="11" applyNumberFormat="1" applyFont="1" applyFill="0" applyBorder="1" applyAlignment="1" applyProtection="0">
      <alignment horizontal="center" vertical="bottom"/>
    </xf>
    <xf numFmtId="61" fontId="6" borderId="24" applyNumberFormat="1" applyFont="1" applyFill="0" applyBorder="1" applyAlignment="1" applyProtection="0">
      <alignment horizontal="center" vertical="bottom"/>
    </xf>
    <xf numFmtId="0" fontId="6" borderId="24" applyNumberFormat="0" applyFont="1" applyFill="0" applyBorder="1" applyAlignment="1" applyProtection="0">
      <alignment horizontal="center" vertical="bottom"/>
    </xf>
    <xf numFmtId="61" fontId="0" borderId="11" applyNumberFormat="1" applyFont="1" applyFill="0" applyBorder="1" applyAlignment="1" applyProtection="0">
      <alignment horizontal="center" vertical="bottom"/>
    </xf>
    <xf numFmtId="0" fontId="11" fillId="3" borderId="20" applyNumberFormat="0" applyFont="1" applyFill="1" applyBorder="1" applyAlignment="1" applyProtection="0">
      <alignment horizontal="center" vertical="center"/>
    </xf>
    <xf numFmtId="0" fontId="0" borderId="24" applyNumberFormat="0" applyFont="1" applyFill="0" applyBorder="1" applyAlignment="1" applyProtection="0">
      <alignment horizontal="center" vertical="bottom"/>
    </xf>
    <xf numFmtId="0" fontId="6" borderId="20" applyNumberFormat="1" applyFont="1" applyFill="0" applyBorder="1" applyAlignment="1" applyProtection="0">
      <alignment horizontal="center" vertical="bottom"/>
    </xf>
    <xf numFmtId="49" fontId="4" fillId="3" borderId="41" applyNumberFormat="1" applyFont="1" applyFill="1" applyBorder="1" applyAlignment="1" applyProtection="0">
      <alignment vertical="center" wrapText="1"/>
    </xf>
    <xf numFmtId="62" fontId="8" borderId="44" applyNumberFormat="1" applyFont="1" applyFill="0" applyBorder="1" applyAlignment="1" applyProtection="0">
      <alignment horizontal="center" vertical="bottom"/>
    </xf>
    <xf numFmtId="0" fontId="6" borderId="24" applyNumberFormat="1" applyFont="1" applyFill="0" applyBorder="1" applyAlignment="1" applyProtection="0">
      <alignment horizontal="center" vertical="bottom"/>
    </xf>
    <xf numFmtId="49" fontId="4" fillId="3" borderId="46" applyNumberFormat="1" applyFont="1" applyFill="1" applyBorder="1" applyAlignment="1" applyProtection="0">
      <alignment vertical="center" wrapText="1"/>
    </xf>
    <xf numFmtId="0" fontId="6" borderId="21" applyNumberFormat="1" applyFont="1" applyFill="0" applyBorder="1" applyAlignment="1" applyProtection="0">
      <alignment horizontal="center" vertical="bottom"/>
    </xf>
    <xf numFmtId="49" fontId="4" fillId="3" borderId="47" applyNumberFormat="1" applyFont="1" applyFill="1" applyBorder="1" applyAlignment="1" applyProtection="0">
      <alignment vertical="center" wrapText="1"/>
    </xf>
    <xf numFmtId="0" fontId="6" borderId="10" applyNumberFormat="0" applyFont="1" applyFill="0" applyBorder="1" applyAlignment="1" applyProtection="0">
      <alignment horizontal="center" vertical="bottom"/>
    </xf>
    <xf numFmtId="0" fontId="6" borderId="11" applyNumberFormat="1" applyFont="1" applyFill="0" applyBorder="1" applyAlignment="1" applyProtection="0">
      <alignment horizontal="center" vertical="bottom"/>
    </xf>
    <xf numFmtId="0" fontId="10" borderId="11" applyNumberFormat="0" applyFont="1" applyFill="0" applyBorder="1" applyAlignment="1" applyProtection="0">
      <alignment horizontal="center" vertical="bottom"/>
    </xf>
    <xf numFmtId="61" fontId="6" borderId="21" applyNumberFormat="1" applyFont="1" applyFill="0" applyBorder="1" applyAlignment="1" applyProtection="0">
      <alignment horizontal="center" vertical="bottom"/>
    </xf>
    <xf numFmtId="61" fontId="6" borderId="9" applyNumberFormat="1" applyFont="1" applyFill="0" applyBorder="1" applyAlignment="1" applyProtection="0">
      <alignment horizontal="center" vertical="bottom"/>
    </xf>
    <xf numFmtId="61" fontId="6" borderId="15" applyNumberFormat="1" applyFont="1" applyFill="0" applyBorder="1" applyAlignment="1" applyProtection="0">
      <alignment horizontal="center" vertical="bottom"/>
    </xf>
    <xf numFmtId="61" fontId="6" borderId="10" applyNumberFormat="1" applyFont="1" applyFill="0" applyBorder="1" applyAlignment="1" applyProtection="0">
      <alignment horizontal="center" vertical="bottom"/>
    </xf>
    <xf numFmtId="0" fontId="0" borderId="38" applyNumberFormat="0" applyFont="1" applyFill="0" applyBorder="1" applyAlignment="1" applyProtection="0">
      <alignment vertical="bottom"/>
    </xf>
    <xf numFmtId="0" fontId="10" borderId="31" applyNumberFormat="0" applyFont="1" applyFill="0" applyBorder="1" applyAlignment="1" applyProtection="0">
      <alignment vertical="bottom"/>
    </xf>
    <xf numFmtId="0" fontId="10" borderId="5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10" borderId="35" applyNumberFormat="0" applyFont="1" applyFill="0" applyBorder="1" applyAlignment="1" applyProtection="0">
      <alignment vertical="bottom"/>
    </xf>
    <xf numFmtId="49" fontId="6" borderId="9" applyNumberFormat="1" applyFont="1" applyFill="0" applyBorder="1" applyAlignment="1" applyProtection="0">
      <alignment horizontal="right" vertical="bottom"/>
    </xf>
    <xf numFmtId="62" fontId="6" borderId="11" applyNumberFormat="1" applyFont="1" applyFill="0" applyBorder="1" applyAlignment="1" applyProtection="0">
      <alignment horizontal="center" vertical="bottom"/>
    </xf>
    <xf numFmtId="0" fontId="6" borderId="39" applyNumberFormat="0" applyFont="1" applyFill="0" applyBorder="1" applyAlignment="1" applyProtection="0">
      <alignment horizontal="right" vertical="bottom"/>
    </xf>
    <xf numFmtId="0" fontId="10" borderId="38" applyNumberFormat="0" applyFont="1" applyFill="0" applyBorder="1" applyAlignment="1" applyProtection="0">
      <alignment vertical="bottom"/>
    </xf>
    <xf numFmtId="62" fontId="6" borderId="15" applyNumberFormat="1" applyFont="1" applyFill="0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vertical="bottom"/>
    </xf>
    <xf numFmtId="0" fontId="7" fillId="4" borderId="9" applyNumberFormat="0" applyFont="1" applyFill="1" applyBorder="1" applyAlignment="1" applyProtection="0">
      <alignment vertical="bottom"/>
    </xf>
    <xf numFmtId="0" fontId="12" fillId="4" borderId="10" applyNumberFormat="0" applyFont="1" applyFill="1" applyBorder="1" applyAlignment="1" applyProtection="0">
      <alignment vertical="bottom"/>
    </xf>
    <xf numFmtId="0" fontId="13" borderId="5" applyNumberFormat="0" applyFont="1" applyFill="0" applyBorder="1" applyAlignment="1" applyProtection="0">
      <alignment horizontal="center" vertical="bottom"/>
    </xf>
    <xf numFmtId="0" fontId="6" borderId="5" applyNumberFormat="0" applyFont="1" applyFill="0" applyBorder="1" applyAlignment="1" applyProtection="0">
      <alignment horizontal="center" vertical="bottom"/>
    </xf>
    <xf numFmtId="0" fontId="4" fillId="3" borderId="20" applyNumberFormat="0" applyFont="1" applyFill="1" applyBorder="1" applyAlignment="1" applyProtection="0">
      <alignment vertical="center" wrapText="1"/>
    </xf>
    <xf numFmtId="62" fontId="0" fillId="3" borderId="20" applyNumberFormat="1" applyFont="1" applyFill="1" applyBorder="1" applyAlignment="1" applyProtection="0">
      <alignment horizontal="center" vertical="center" wrapText="1"/>
    </xf>
    <xf numFmtId="63" fontId="0" fillId="3" borderId="20" applyNumberFormat="1" applyFont="1" applyFill="1" applyBorder="1" applyAlignment="1" applyProtection="0">
      <alignment horizontal="center" vertical="center" wrapText="1"/>
    </xf>
    <xf numFmtId="60" fontId="0" fillId="3" borderId="20" applyNumberFormat="1" applyFont="1" applyFill="1" applyBorder="1" applyAlignment="1" applyProtection="0">
      <alignment horizontal="center" vertical="center" wrapText="1"/>
    </xf>
    <xf numFmtId="61" fontId="8" borderId="24" applyNumberFormat="1" applyFont="1" applyFill="0" applyBorder="1" applyAlignment="1" applyProtection="0">
      <alignment horizontal="center" vertical="bottom"/>
    </xf>
    <xf numFmtId="0" fontId="0" fillId="3" borderId="20" applyNumberFormat="1" applyFont="1" applyFill="1" applyBorder="1" applyAlignment="1" applyProtection="0">
      <alignment horizontal="center" vertical="center" wrapText="1"/>
    </xf>
    <xf numFmtId="0" fontId="14" borderId="5" applyNumberFormat="0" applyFont="1" applyFill="0" applyBorder="1" applyAlignment="1" applyProtection="0">
      <alignment horizontal="center" vertical="bottom"/>
    </xf>
    <xf numFmtId="62" fontId="0" borderId="5" applyNumberFormat="1" applyFont="1" applyFill="0" applyBorder="1" applyAlignment="1" applyProtection="0">
      <alignment vertical="bottom"/>
    </xf>
    <xf numFmtId="0" fontId="4" fillId="3" borderId="24" applyNumberFormat="0" applyFont="1" applyFill="1" applyBorder="1" applyAlignment="1" applyProtection="0">
      <alignment vertical="center" wrapText="1"/>
    </xf>
    <xf numFmtId="63" fontId="0" fillId="3" borderId="24" applyNumberFormat="1" applyFont="1" applyFill="1" applyBorder="1" applyAlignment="1" applyProtection="0">
      <alignment horizontal="center" vertical="center" wrapText="1"/>
    </xf>
    <xf numFmtId="60" fontId="0" fillId="3" borderId="24" applyNumberFormat="1" applyFont="1" applyFill="1" applyBorder="1" applyAlignment="1" applyProtection="0">
      <alignment horizontal="center" vertical="center" wrapText="1"/>
    </xf>
    <xf numFmtId="0" fontId="0" fillId="3" borderId="24" applyNumberFormat="1" applyFont="1" applyFill="1" applyBorder="1" applyAlignment="1" applyProtection="0">
      <alignment horizontal="center" vertical="center" wrapText="1"/>
    </xf>
    <xf numFmtId="0" fontId="15" borderId="5" applyNumberFormat="0" applyFont="1" applyFill="0" applyBorder="1" applyAlignment="1" applyProtection="0">
      <alignment vertical="bottom"/>
    </xf>
    <xf numFmtId="0" fontId="16" borderId="5" applyNumberFormat="0" applyFont="1" applyFill="0" applyBorder="1" applyAlignment="1" applyProtection="0">
      <alignment horizontal="center" vertical="bottom"/>
    </xf>
    <xf numFmtId="61" fontId="0" borderId="5" applyNumberFormat="1" applyFont="1" applyFill="0" applyBorder="1" applyAlignment="1" applyProtection="0">
      <alignment vertical="bottom"/>
    </xf>
    <xf numFmtId="61" fontId="8" borderId="5" applyNumberFormat="1" applyFont="1" applyFill="0" applyBorder="1" applyAlignment="1" applyProtection="0">
      <alignment vertical="bottom"/>
    </xf>
    <xf numFmtId="0" fontId="17" borderId="5" applyNumberFormat="0" applyFont="1" applyFill="0" applyBorder="1" applyAlignment="1" applyProtection="0">
      <alignment vertical="bottom"/>
    </xf>
    <xf numFmtId="0" fontId="4" fillId="3" borderId="21" applyNumberFormat="0" applyFont="1" applyFill="1" applyBorder="1" applyAlignment="1" applyProtection="0">
      <alignment vertical="center" wrapText="1"/>
    </xf>
    <xf numFmtId="63" fontId="0" fillId="3" borderId="21" applyNumberFormat="1" applyFont="1" applyFill="1" applyBorder="1" applyAlignment="1" applyProtection="0">
      <alignment horizontal="center" vertical="center" wrapText="1"/>
    </xf>
    <xf numFmtId="60" fontId="0" fillId="3" borderId="21" applyNumberFormat="1" applyFont="1" applyFill="1" applyBorder="1" applyAlignment="1" applyProtection="0">
      <alignment horizontal="center" vertical="center" wrapText="1"/>
    </xf>
    <xf numFmtId="0" fontId="0" fillId="3" borderId="21" applyNumberFormat="1" applyFont="1" applyFill="1" applyBorder="1" applyAlignment="1" applyProtection="0">
      <alignment horizontal="center" vertical="center" wrapText="1"/>
    </xf>
    <xf numFmtId="49" fontId="6" borderId="9" applyNumberFormat="1" applyFont="1" applyFill="0" applyBorder="1" applyAlignment="1" applyProtection="0">
      <alignment vertical="bottom"/>
    </xf>
    <xf numFmtId="0" fontId="6" borderId="15" applyNumberFormat="0" applyFont="1" applyFill="0" applyBorder="1" applyAlignment="1" applyProtection="0">
      <alignment vertical="bottom"/>
    </xf>
    <xf numFmtId="64" fontId="6" borderId="15" applyNumberFormat="1" applyFont="1" applyFill="0" applyBorder="1" applyAlignment="1" applyProtection="0">
      <alignment horizontal="center" vertical="bottom"/>
    </xf>
    <xf numFmtId="63" fontId="6" borderId="15" applyNumberFormat="1" applyFont="1" applyFill="0" applyBorder="1" applyAlignment="1" applyProtection="0">
      <alignment horizontal="center" vertical="bottom"/>
    </xf>
    <xf numFmtId="0" fontId="10" borderId="10" applyNumberFormat="1" applyFont="1" applyFill="0" applyBorder="1" applyAlignment="1" applyProtection="0">
      <alignment horizontal="center" vertical="bottom"/>
    </xf>
    <xf numFmtId="62" fontId="6" borderId="21" applyNumberFormat="1" applyFont="1" applyFill="0" applyBorder="1" applyAlignment="1" applyProtection="0">
      <alignment horizontal="center" vertical="bottom"/>
    </xf>
    <xf numFmtId="62" fontId="6" borderId="9" applyNumberFormat="1" applyFont="1" applyFill="0" applyBorder="1" applyAlignment="1" applyProtection="0">
      <alignment horizontal="center" vertical="bottom"/>
    </xf>
    <xf numFmtId="60" fontId="6" borderId="15" applyNumberFormat="1" applyFont="1" applyFill="0" applyBorder="1" applyAlignment="1" applyProtection="0">
      <alignment horizontal="center" vertical="bottom"/>
    </xf>
    <xf numFmtId="60" fontId="10" borderId="10" applyNumberFormat="1" applyFont="1" applyFill="0" applyBorder="1" applyAlignment="1" applyProtection="0">
      <alignment horizontal="center" vertical="bottom"/>
    </xf>
    <xf numFmtId="62" fontId="6" borderId="10" applyNumberFormat="1" applyFont="1" applyFill="0" applyBorder="1" applyAlignment="1" applyProtection="0">
      <alignment horizontal="center" vertical="bottom"/>
    </xf>
    <xf numFmtId="0" fontId="0" borderId="49" applyNumberFormat="0" applyFont="1" applyFill="0" applyBorder="1" applyAlignment="1" applyProtection="0">
      <alignment vertical="bottom"/>
    </xf>
    <xf numFmtId="0" fontId="17" borderId="18" applyNumberFormat="0" applyFont="1" applyFill="0" applyBorder="1" applyAlignment="1" applyProtection="0">
      <alignment vertical="bottom"/>
    </xf>
    <xf numFmtId="0" fontId="0" borderId="5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8" fillId="5" borderId="9" applyNumberFormat="1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60" fontId="0" fillId="5" borderId="15" applyNumberFormat="1" applyFont="1" applyFill="1" applyBorder="1" applyAlignment="1" applyProtection="0">
      <alignment vertical="bottom"/>
    </xf>
    <xf numFmtId="0" fontId="0" fillId="5" borderId="10" applyNumberFormat="0" applyFont="1" applyFill="1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fillId="3" borderId="26" applyNumberFormat="0" applyFont="1" applyFill="1" applyBorder="1" applyAlignment="1" applyProtection="0">
      <alignment vertical="bottom"/>
    </xf>
    <xf numFmtId="0" fontId="0" fillId="3" borderId="38" applyNumberFormat="0" applyFont="1" applyFill="1" applyBorder="1" applyAlignment="1" applyProtection="0">
      <alignment vertical="bottom"/>
    </xf>
    <xf numFmtId="0" fontId="0" borderId="51" applyNumberFormat="0" applyFont="1" applyFill="0" applyBorder="1" applyAlignment="1" applyProtection="0">
      <alignment vertical="bottom"/>
    </xf>
    <xf numFmtId="0" fontId="0" borderId="52" applyNumberFormat="0" applyFont="1" applyFill="0" applyBorder="1" applyAlignment="1" applyProtection="0">
      <alignment vertical="bottom"/>
    </xf>
    <xf numFmtId="49" fontId="19" fillId="4" borderId="53" applyNumberFormat="1" applyFont="1" applyFill="1" applyBorder="1" applyAlignment="1" applyProtection="0">
      <alignment vertical="bottom"/>
    </xf>
    <xf numFmtId="49" fontId="19" fillId="4" borderId="54" applyNumberFormat="1" applyFont="1" applyFill="1" applyBorder="1" applyAlignment="1" applyProtection="0">
      <alignment horizontal="center" vertical="bottom"/>
    </xf>
    <xf numFmtId="49" fontId="19" fillId="4" borderId="55" applyNumberFormat="1" applyFont="1" applyFill="1" applyBorder="1" applyAlignment="1" applyProtection="0">
      <alignment horizontal="center" vertical="bottom"/>
    </xf>
    <xf numFmtId="49" fontId="19" fillId="4" borderId="42" applyNumberFormat="1" applyFont="1" applyFill="1" applyBorder="1" applyAlignment="1" applyProtection="0">
      <alignment horizontal="center" vertical="bottom"/>
    </xf>
    <xf numFmtId="0" fontId="0" fillId="3" borderId="45" applyNumberFormat="0" applyFont="1" applyFill="1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left" vertical="bottom"/>
    </xf>
    <xf numFmtId="9" fontId="4" borderId="42" applyNumberFormat="1" applyFont="1" applyFill="0" applyBorder="1" applyAlignment="1" applyProtection="0">
      <alignment horizontal="center" vertical="bottom"/>
    </xf>
    <xf numFmtId="2" fontId="0" fillId="3" borderId="42" applyNumberFormat="1" applyFont="1" applyFill="1" applyBorder="1" applyAlignment="1" applyProtection="0">
      <alignment vertical="bottom"/>
    </xf>
    <xf numFmtId="0" fontId="4" fillId="3" borderId="42" applyNumberFormat="0" applyFont="1" applyFill="1" applyBorder="1" applyAlignment="1" applyProtection="0">
      <alignment horizontal="center" vertical="bottom"/>
    </xf>
    <xf numFmtId="49" fontId="4" borderId="48" applyNumberFormat="1" applyFont="1" applyFill="0" applyBorder="1" applyAlignment="1" applyProtection="0">
      <alignment horizontal="left" vertical="bottom"/>
    </xf>
    <xf numFmtId="9" fontId="4" borderId="48" applyNumberFormat="1" applyFont="1" applyFill="0" applyBorder="1" applyAlignment="1" applyProtection="0">
      <alignment horizontal="center" vertical="bottom"/>
    </xf>
    <xf numFmtId="2" fontId="0" fillId="3" borderId="48" applyNumberFormat="1" applyFont="1" applyFill="1" applyBorder="1" applyAlignment="1" applyProtection="0">
      <alignment vertical="bottom"/>
    </xf>
    <xf numFmtId="0" fontId="4" fillId="3" borderId="48" applyNumberFormat="1" applyFont="1" applyFill="1" applyBorder="1" applyAlignment="1" applyProtection="0">
      <alignment horizontal="center" vertical="bottom"/>
    </xf>
    <xf numFmtId="49" fontId="4" fillId="5" borderId="11" applyNumberFormat="1" applyFont="1" applyFill="1" applyBorder="1" applyAlignment="1" applyProtection="0">
      <alignment horizontal="left" vertical="bottom"/>
    </xf>
    <xf numFmtId="9" fontId="4" fillId="5" borderId="11" applyNumberFormat="1" applyFont="1" applyFill="1" applyBorder="1" applyAlignment="1" applyProtection="0">
      <alignment horizontal="center" vertical="bottom"/>
    </xf>
    <xf numFmtId="60" fontId="0" fillId="5" borderId="11" applyNumberFormat="1" applyFont="1" applyFill="1" applyBorder="1" applyAlignment="1" applyProtection="0">
      <alignment vertical="bottom"/>
    </xf>
    <xf numFmtId="0" fontId="4" fillId="5" borderId="11" applyNumberFormat="0" applyFont="1" applyFill="1" applyBorder="1" applyAlignment="1" applyProtection="0">
      <alignment horizontal="center" vertical="bottom"/>
    </xf>
    <xf numFmtId="0" fontId="0" fillId="3" borderId="31" applyNumberFormat="0" applyFont="1" applyFill="1" applyBorder="1" applyAlignment="1" applyProtection="0">
      <alignment vertical="bottom"/>
    </xf>
    <xf numFmtId="0" fontId="0" fillId="3" borderId="33" applyNumberFormat="0" applyFont="1" applyFill="1" applyBorder="1" applyAlignment="1" applyProtection="0">
      <alignment vertical="bottom"/>
    </xf>
    <xf numFmtId="65" fontId="4" fillId="3" borderId="42" applyNumberFormat="1" applyFont="1" applyFill="1" applyBorder="1" applyAlignment="1" applyProtection="0">
      <alignment horizontal="center" vertical="bottom"/>
    </xf>
    <xf numFmtId="0" fontId="20" fillId="3" borderId="42" applyNumberFormat="0" applyFont="1" applyFill="1" applyBorder="1" applyAlignment="1" applyProtection="0">
      <alignment horizontal="center" vertical="center"/>
    </xf>
    <xf numFmtId="0" fontId="0" fillId="3" borderId="42" applyNumberFormat="0" applyFont="1" applyFill="1" applyBorder="1" applyAlignment="1" applyProtection="0">
      <alignment vertical="bottom"/>
    </xf>
    <xf numFmtId="10" fontId="4" fillId="3" borderId="48" applyNumberFormat="1" applyFont="1" applyFill="1" applyBorder="1" applyAlignment="1" applyProtection="0">
      <alignment horizontal="center" vertical="bottom"/>
    </xf>
    <xf numFmtId="0" fontId="0" fillId="3" borderId="48" applyNumberFormat="0" applyFont="1" applyFill="1" applyBorder="1" applyAlignment="1" applyProtection="0">
      <alignment vertical="bottom"/>
    </xf>
    <xf numFmtId="60" fontId="4" fillId="5" borderId="11" applyNumberFormat="1" applyFont="1" applyFill="1" applyBorder="1" applyAlignment="1" applyProtection="0">
      <alignment horizontal="center" vertical="bottom"/>
    </xf>
    <xf numFmtId="0" fontId="0" fillId="5" borderId="11" applyNumberFormat="0" applyFont="1" applyFill="1" applyBorder="1" applyAlignment="1" applyProtection="0">
      <alignment vertical="bottom"/>
    </xf>
    <xf numFmtId="66" fontId="4" fillId="3" borderId="42" applyNumberFormat="1" applyFont="1" applyFill="1" applyBorder="1" applyAlignment="1" applyProtection="0">
      <alignment horizontal="center" vertical="bottom"/>
    </xf>
    <xf numFmtId="66" fontId="4" fillId="3" borderId="48" applyNumberFormat="1" applyFont="1" applyFill="1" applyBorder="1" applyAlignment="1" applyProtection="0">
      <alignment horizontal="center" vertical="bottom"/>
    </xf>
    <xf numFmtId="2" fontId="4" fillId="3" borderId="42" applyNumberFormat="1" applyFont="1" applyFill="1" applyBorder="1" applyAlignment="1" applyProtection="0">
      <alignment horizontal="center" vertical="bottom"/>
    </xf>
    <xf numFmtId="2" fontId="4" fillId="3" borderId="48" applyNumberFormat="1" applyFont="1" applyFill="1" applyBorder="1" applyAlignment="1" applyProtection="0">
      <alignment horizontal="center" vertical="bottom"/>
    </xf>
    <xf numFmtId="65" fontId="4" fillId="3" borderId="48" applyNumberFormat="1" applyFont="1" applyFill="1" applyBorder="1" applyAlignment="1" applyProtection="0">
      <alignment horizontal="center" vertical="bottom"/>
    </xf>
    <xf numFmtId="60" fontId="4" fillId="3" borderId="42" applyNumberFormat="1" applyFont="1" applyFill="1" applyBorder="1" applyAlignment="1" applyProtection="0">
      <alignment horizontal="center" vertical="bottom"/>
    </xf>
    <xf numFmtId="0" fontId="0" fillId="3" borderId="42" applyNumberFormat="1" applyFont="1" applyFill="1" applyBorder="1" applyAlignment="1" applyProtection="0">
      <alignment vertical="bottom"/>
    </xf>
    <xf numFmtId="9" fontId="0" fillId="3" borderId="42" applyNumberFormat="1" applyFont="1" applyFill="1" applyBorder="1" applyAlignment="1" applyProtection="0">
      <alignment vertical="bottom"/>
    </xf>
    <xf numFmtId="60" fontId="4" fillId="3" borderId="48" applyNumberFormat="1" applyFont="1" applyFill="1" applyBorder="1" applyAlignment="1" applyProtection="0">
      <alignment horizontal="center" vertical="bottom"/>
    </xf>
    <xf numFmtId="0" fontId="0" fillId="3" borderId="48" applyNumberFormat="1" applyFont="1" applyFill="1" applyBorder="1" applyAlignment="1" applyProtection="0">
      <alignment vertical="bottom"/>
    </xf>
    <xf numFmtId="9" fontId="0" fillId="3" borderId="48" applyNumberFormat="1" applyFont="1" applyFill="1" applyBorder="1" applyAlignment="1" applyProtection="0">
      <alignment vertical="bottom"/>
    </xf>
    <xf numFmtId="9" fontId="0" fillId="5" borderId="11" applyNumberFormat="1" applyFont="1" applyFill="1" applyBorder="1" applyAlignment="1" applyProtection="0">
      <alignment vertical="bottom"/>
    </xf>
    <xf numFmtId="0" fontId="0" fillId="4" borderId="55" applyNumberFormat="0" applyFont="1" applyFill="1" applyBorder="1" applyAlignment="1" applyProtection="0">
      <alignment horizontal="center" vertical="bottom"/>
    </xf>
    <xf numFmtId="60" fontId="0" fillId="3" borderId="45" applyNumberFormat="1" applyFont="1" applyFill="1" applyBorder="1" applyAlignment="1" applyProtection="0">
      <alignment vertical="bottom"/>
    </xf>
    <xf numFmtId="49" fontId="4" borderId="42" applyNumberFormat="1" applyFont="1" applyFill="0" applyBorder="1" applyAlignment="1" applyProtection="0">
      <alignment vertical="bottom"/>
    </xf>
    <xf numFmtId="0" fontId="4" borderId="42" applyNumberFormat="0" applyFont="1" applyFill="0" applyBorder="1" applyAlignment="1" applyProtection="0">
      <alignment horizontal="center" vertical="bottom"/>
    </xf>
    <xf numFmtId="0" fontId="0" borderId="56" applyNumberFormat="0" applyFont="1" applyFill="0" applyBorder="1" applyAlignment="1" applyProtection="0">
      <alignment vertical="bottom"/>
    </xf>
    <xf numFmtId="60" fontId="0" fillId="3" borderId="57" applyNumberFormat="1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33" applyNumberFormat="1" applyFont="1" applyFill="1" applyBorder="1" applyAlignment="1" applyProtection="0">
      <alignment horizontal="left" vertical="center" wrapText="1"/>
    </xf>
    <xf numFmtId="49" fontId="4" fillId="3" borderId="33" applyNumberFormat="1" applyFont="1" applyFill="1" applyBorder="1" applyAlignment="1" applyProtection="0">
      <alignment horizontal="center" vertical="center" wrapText="1"/>
    </xf>
    <xf numFmtId="0" fontId="0" borderId="33" applyNumberFormat="0" applyFont="1" applyFill="0" applyBorder="1" applyAlignment="1" applyProtection="0">
      <alignment vertical="bottom"/>
    </xf>
    <xf numFmtId="49" fontId="4" fillId="3" borderId="58" applyNumberFormat="1" applyFont="1" applyFill="1" applyBorder="1" applyAlignment="1" applyProtection="0">
      <alignment horizontal="left" vertical="center" wrapText="1"/>
    </xf>
    <xf numFmtId="49" fontId="4" fillId="3" borderId="29" applyNumberFormat="1" applyFont="1" applyFill="1" applyBorder="1" applyAlignment="1" applyProtection="0">
      <alignment horizontal="left" vertical="center" wrapText="1"/>
    </xf>
    <xf numFmtId="0" fontId="4" fillId="3" borderId="29" applyNumberFormat="0" applyFont="1" applyFill="1" applyBorder="1" applyAlignment="1" applyProtection="0">
      <alignment horizontal="center" vertical="center" wrapText="1"/>
    </xf>
    <xf numFmtId="0" fontId="0" borderId="29" applyNumberFormat="0" applyFont="1" applyFill="0" applyBorder="1" applyAlignment="1" applyProtection="0">
      <alignment vertical="bottom"/>
    </xf>
    <xf numFmtId="0" fontId="0" borderId="59" applyNumberFormat="0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center" wrapText="1"/>
    </xf>
    <xf numFmtId="49" fontId="0" fillId="3" borderId="5" applyNumberFormat="1" applyFont="1" applyFill="1" applyBorder="1" applyAlignment="1" applyProtection="0">
      <alignment horizontal="center" vertical="center" wrapText="1"/>
    </xf>
    <xf numFmtId="49" fontId="0" fillId="3" borderId="37" applyNumberFormat="1" applyFont="1" applyFill="1" applyBorder="1" applyAlignment="1" applyProtection="0">
      <alignment horizontal="left" vertical="center" wrapText="1"/>
    </xf>
    <xf numFmtId="0" fontId="0" borderId="33" applyNumberFormat="0" applyFont="1" applyFill="0" applyBorder="1" applyAlignment="1" applyProtection="0">
      <alignment horizontal="center" vertical="bottom"/>
    </xf>
    <xf numFmtId="0" fontId="0" borderId="58" applyNumberFormat="0" applyFont="1" applyFill="0" applyBorder="1" applyAlignment="1" applyProtection="0">
      <alignment vertical="bottom"/>
    </xf>
    <xf numFmtId="49" fontId="4" borderId="29" applyNumberFormat="1" applyFont="1" applyFill="0" applyBorder="1" applyAlignment="1" applyProtection="0">
      <alignment vertical="bottom"/>
    </xf>
    <xf numFmtId="0" fontId="0" borderId="29" applyNumberFormat="0" applyFont="1" applyFill="0" applyBorder="1" applyAlignment="1" applyProtection="0">
      <alignment horizontal="center" vertical="bottom"/>
    </xf>
    <xf numFmtId="49" fontId="0" fillId="3" borderId="37" applyNumberFormat="1" applyFont="1" applyFill="1" applyBorder="1" applyAlignment="1" applyProtection="0">
      <alignment horizontal="center" vertical="center" wrapText="1"/>
    </xf>
    <xf numFmtId="0" fontId="0" fillId="3" borderId="33" applyNumberFormat="0" applyFont="1" applyFill="1" applyBorder="1" applyAlignment="1" applyProtection="0">
      <alignment vertical="center" wrapText="1"/>
    </xf>
    <xf numFmtId="0" fontId="0" fillId="3" borderId="33" applyNumberFormat="0" applyFont="1" applyFill="1" applyBorder="1" applyAlignment="1" applyProtection="0">
      <alignment horizontal="center" vertical="center" wrapText="1"/>
    </xf>
    <xf numFmtId="49" fontId="4" fillId="3" borderId="29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21" fillId="3" borderId="42" applyNumberFormat="1" applyFont="1" applyFill="1" applyBorder="1" applyAlignment="1" applyProtection="0">
      <alignment horizontal="center" vertical="center"/>
    </xf>
    <xf numFmtId="0" fontId="21" fillId="3" borderId="42" applyNumberFormat="0" applyFont="1" applyFill="1" applyBorder="1" applyAlignment="1" applyProtection="0">
      <alignment horizontal="center" vertical="center"/>
    </xf>
    <xf numFmtId="0" fontId="4" fillId="3" borderId="42" applyNumberFormat="0" applyFont="1" applyFill="1" applyBorder="1" applyAlignment="1" applyProtection="0">
      <alignment horizontal="center" vertical="center"/>
    </xf>
    <xf numFmtId="0" fontId="0" borderId="54" applyNumberFormat="0" applyFont="1" applyFill="0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center" vertical="bottom"/>
    </xf>
    <xf numFmtId="0" fontId="4" borderId="44" applyNumberFormat="0" applyFont="1" applyFill="0" applyBorder="1" applyAlignment="1" applyProtection="0">
      <alignment vertical="bottom"/>
    </xf>
    <xf numFmtId="1" fontId="4" fillId="3" borderId="44" applyNumberFormat="1" applyFont="1" applyFill="1" applyBorder="1" applyAlignment="1" applyProtection="0">
      <alignment vertical="bottom"/>
    </xf>
    <xf numFmtId="0" fontId="0" borderId="60" applyNumberFormat="0" applyFont="1" applyFill="0" applyBorder="1" applyAlignment="1" applyProtection="0">
      <alignment vertical="bottom"/>
    </xf>
    <xf numFmtId="0" fontId="0" fillId="3" borderId="52" applyNumberFormat="0" applyFont="1" applyFill="1" applyBorder="1" applyAlignment="1" applyProtection="0">
      <alignment horizontal="center" vertical="center"/>
    </xf>
    <xf numFmtId="1" fontId="4" fillId="3" borderId="42" applyNumberFormat="1" applyFont="1" applyFill="1" applyBorder="1" applyAlignment="1" applyProtection="0">
      <alignment horizontal="center" vertical="center"/>
    </xf>
    <xf numFmtId="1" fontId="4" fillId="3" borderId="44" applyNumberFormat="1" applyFont="1" applyFill="1" applyBorder="1" applyAlignment="1" applyProtection="0">
      <alignment horizontal="center" vertical="center"/>
    </xf>
    <xf numFmtId="49" fontId="4" borderId="39" applyNumberFormat="1" applyFont="1" applyFill="0" applyBorder="1" applyAlignment="1" applyProtection="0">
      <alignment vertical="bottom"/>
    </xf>
    <xf numFmtId="49" fontId="4" fillId="3" borderId="38" applyNumberFormat="1" applyFont="1" applyFill="1" applyBorder="1" applyAlignment="1" applyProtection="0">
      <alignment horizontal="center" vertical="center"/>
    </xf>
    <xf numFmtId="49" fontId="4" fillId="3" borderId="40" applyNumberFormat="1" applyFont="1" applyFill="1" applyBorder="1" applyAlignment="1" applyProtection="0">
      <alignment horizontal="center" vertical="center"/>
    </xf>
    <xf numFmtId="49" fontId="4" borderId="31" applyNumberFormat="1" applyFont="1" applyFill="0" applyBorder="1" applyAlignment="1" applyProtection="0">
      <alignment horizontal="left" vertical="bottom"/>
    </xf>
    <xf numFmtId="0" fontId="4" borderId="5" applyNumberFormat="0" applyFont="1" applyFill="0" applyBorder="1" applyAlignment="1" applyProtection="0">
      <alignment vertical="bottom"/>
    </xf>
    <xf numFmtId="9" fontId="4" fillId="3" borderId="5" applyNumberFormat="1" applyFont="1" applyFill="1" applyBorder="1" applyAlignment="1" applyProtection="0">
      <alignment horizontal="center" vertical="center"/>
    </xf>
    <xf numFmtId="65" fontId="4" fillId="3" borderId="5" applyNumberFormat="1" applyFont="1" applyFill="1" applyBorder="1" applyAlignment="1" applyProtection="0">
      <alignment horizontal="center" vertical="center"/>
    </xf>
    <xf numFmtId="1" fontId="4" fillId="3" borderId="5" applyNumberFormat="1" applyFont="1" applyFill="1" applyBorder="1" applyAlignment="1" applyProtection="0">
      <alignment horizontal="center" vertical="center"/>
    </xf>
    <xf numFmtId="0" fontId="4" fillId="3" borderId="8" applyNumberFormat="0" applyFont="1" applyFill="1" applyBorder="1" applyAlignment="1" applyProtection="0">
      <alignment horizontal="center" vertical="center"/>
    </xf>
    <xf numFmtId="49" fontId="4" borderId="35" applyNumberFormat="1" applyFont="1" applyFill="0" applyBorder="1" applyAlignment="1" applyProtection="0">
      <alignment horizontal="left" vertical="bottom"/>
    </xf>
    <xf numFmtId="0" fontId="4" borderId="6" applyNumberFormat="0" applyFont="1" applyFill="0" applyBorder="1" applyAlignment="1" applyProtection="0">
      <alignment vertical="bottom"/>
    </xf>
    <xf numFmtId="9" fontId="4" fillId="3" borderId="6" applyNumberFormat="1" applyFont="1" applyFill="1" applyBorder="1" applyAlignment="1" applyProtection="0">
      <alignment horizontal="center" vertical="center"/>
    </xf>
    <xf numFmtId="65" fontId="4" fillId="3" borderId="6" applyNumberFormat="1" applyFont="1" applyFill="1" applyBorder="1" applyAlignment="1" applyProtection="0">
      <alignment horizontal="center" vertical="center"/>
    </xf>
    <xf numFmtId="1" fontId="4" fillId="3" borderId="6" applyNumberFormat="1" applyFont="1" applyFill="1" applyBorder="1" applyAlignment="1" applyProtection="0">
      <alignment horizontal="center" vertical="center"/>
    </xf>
    <xf numFmtId="0" fontId="4" fillId="3" borderId="36" applyNumberFormat="0" applyFont="1" applyFill="1" applyBorder="1" applyAlignment="1" applyProtection="0">
      <alignment horizontal="center" vertical="center"/>
    </xf>
    <xf numFmtId="0" fontId="4" borderId="15" applyNumberFormat="0" applyFont="1" applyFill="0" applyBorder="1" applyAlignment="1" applyProtection="0">
      <alignment vertical="bottom"/>
    </xf>
    <xf numFmtId="0" fontId="4" fillId="3" borderId="15" applyNumberFormat="0" applyFont="1" applyFill="1" applyBorder="1" applyAlignment="1" applyProtection="0">
      <alignment horizontal="center" vertical="center"/>
    </xf>
    <xf numFmtId="1" fontId="4" fillId="3" borderId="15" applyNumberFormat="1" applyFont="1" applyFill="1" applyBorder="1" applyAlignment="1" applyProtection="0">
      <alignment horizontal="center" vertical="center"/>
    </xf>
    <xf numFmtId="0" fontId="4" borderId="38" applyNumberFormat="0" applyFont="1" applyFill="0" applyBorder="1" applyAlignment="1" applyProtection="0">
      <alignment vertical="bottom"/>
    </xf>
    <xf numFmtId="60" fontId="4" fillId="3" borderId="5" applyNumberFormat="1" applyFont="1" applyFill="1" applyBorder="1" applyAlignment="1" applyProtection="0">
      <alignment horizontal="center" vertical="center"/>
    </xf>
    <xf numFmtId="60" fontId="4" fillId="3" borderId="6" applyNumberFormat="1" applyFont="1" applyFill="1" applyBorder="1" applyAlignment="1" applyProtection="0">
      <alignment horizontal="center" vertical="center"/>
    </xf>
    <xf numFmtId="0" fontId="4" borderId="15" applyNumberFormat="0" applyFont="1" applyFill="0" applyBorder="1" applyAlignment="1" applyProtection="0">
      <alignment horizontal="left" vertical="bottom"/>
    </xf>
    <xf numFmtId="49" fontId="4" borderId="9" applyNumberFormat="1" applyFont="1" applyFill="0" applyBorder="1" applyAlignment="1" applyProtection="0">
      <alignment vertical="bottom"/>
    </xf>
    <xf numFmtId="1" fontId="0" fillId="3" borderId="15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61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horizontal="center" vertical="bottom"/>
    </xf>
    <xf numFmtId="0" fontId="0" borderId="38" applyNumberFormat="0" applyFont="1" applyFill="0" applyBorder="1" applyAlignment="1" applyProtection="0">
      <alignment horizontal="center" vertical="bottom"/>
    </xf>
    <xf numFmtId="0" fontId="0" fillId="3" borderId="38" applyNumberFormat="0" applyFont="1" applyFill="1" applyBorder="1" applyAlignment="1" applyProtection="0">
      <alignment horizontal="center" vertical="bottom"/>
    </xf>
    <xf numFmtId="0" fontId="0" borderId="40" applyNumberFormat="0" applyFont="1" applyFill="0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0" fontId="0" borderId="35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fillId="3" borderId="6" applyNumberFormat="0" applyFont="1" applyFill="1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horizontal="center" vertical="bottom"/>
    </xf>
    <xf numFmtId="0" fontId="0" borderId="62" applyNumberFormat="0" applyFont="1" applyFill="0" applyBorder="1" applyAlignment="1" applyProtection="0">
      <alignment vertical="bottom"/>
    </xf>
  </cellXfs>
  <cellStyles count="1">
    <cellStyle name="Normal" xfId="0" builtinId="0"/>
  </cellStyles>
  <dxfs count="21"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8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0dfe5"/>
      <rgbColor rgb="ffffffff"/>
      <rgbColor rgb="ffe6e9eb"/>
      <rgbColor rgb="ffff0000"/>
      <rgbColor rgb="00000000"/>
      <rgbColor rgb="ff92d050"/>
      <rgbColor rgb="ffffc000"/>
      <rgbColor rgb="ff94ca81"/>
      <rgbColor rgb="ff00b050"/>
      <rgbColor rgb="ffffff99"/>
      <rgbColor rgb="ff0e2841"/>
      <rgbColor rgb="ffc9dff3"/>
      <rgbColor rgb="ffd8d8d8"/>
      <rgbColor rgb="ffc1e4f5"/>
      <rgbColor rgb="ff45b0e1"/>
      <rgbColor rgb="26c1e4f5"/>
      <rgbColor rgb="63f2f2f2"/>
      <rgbColor rgb="ff7f7f7f"/>
      <rgbColor rgb="ff0f4861"/>
      <rgbColor rgb="ff83caeb"/>
      <rgbColor rgb="ff0a30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9382"/>
          <c:y val="0.0894378"/>
          <c:w val="0.721235"/>
          <c:h val="0.898062"/>
        </c:manualLayout>
      </c:layout>
      <c:radarChart>
        <c:radarStyle val="marker"/>
        <c:varyColors val="0"/>
        <c:ser>
          <c:idx val="1"/>
          <c:order val="0"/>
          <c:tx>
            <c:v>Region 2</c:v>
          </c:tx>
          <c:spPr>
            <a:solidFill>
              <a:schemeClr val="accent2">
                <a:alpha val="15000"/>
              </a:schemeClr>
            </a:solidFill>
            <a:ln w="63500" cap="flat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  <c:size val="8"/>
            <c:spPr>
              <a:noFill/>
              <a:ln w="63500" cap="flat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  <c:pt idx="4">
                <c:v>August</c:v>
              </c:pt>
            </c:strLit>
          </c:cat>
          <c:val>
            <c:numLit>
              <c:ptCount val="5"/>
              <c:pt idx="0">
                <c:v>84.000000</c:v>
              </c:pt>
              <c:pt idx="1">
                <c:v>57.000000</c:v>
              </c:pt>
              <c:pt idx="2">
                <c:v>82.000000</c:v>
              </c:pt>
              <c:pt idx="3">
                <c:v>62.000000</c:v>
              </c:pt>
              <c:pt idx="4">
                <c:v>75.000000</c:v>
              </c:pt>
            </c:numLit>
          </c:val>
        </c:ser>
        <c:ser>
          <c:idx val="0"/>
          <c:order val="1"/>
          <c:tx>
            <c:v>Region 1</c:v>
          </c:tx>
          <c:spPr>
            <a:noFill/>
            <a:ln w="317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5"/>
            <c:spPr>
              <a:noFill/>
              <a:ln w="31750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  <c:pt idx="4">
                <c:v>August</c:v>
              </c:pt>
            </c:strLit>
          </c:cat>
          <c:val>
            <c:numLit>
              <c:ptCount val="5"/>
              <c:pt idx="0">
                <c:v>58.000000</c:v>
              </c:pt>
              <c:pt idx="1">
                <c:v>86.000000</c:v>
              </c:pt>
              <c:pt idx="2">
                <c:v>60.000000</c:v>
              </c:pt>
              <c:pt idx="3">
                <c:v>91.000000</c:v>
              </c:pt>
              <c:pt idx="4">
                <c:v>62.000000</c:v>
              </c:pt>
            </c:numLit>
          </c:val>
        </c:ser>
        <c:axId val="2094734552"/>
        <c:axId val="2094734553"/>
      </c:rad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CADFF4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CADFF4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one"/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0E2841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751"/>
          <c:y val="0.0533486"/>
          <c:w val="0.868984"/>
          <c:h val="0.8560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FINANCIEROS'!$D$4:$D$5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C1E5F5"/>
              </a:solidFill>
              <a:prstDash val="solid"/>
              <a:round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FINANCIEROS'!$D$6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FINANCIEROS'!$F$4:$F$5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FINANCIEROS'!$F$6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FINANCIEROS'!$H$4:$H$5</c:f>
              <c:strCache>
                <c:ptCount val="1"/>
                <c:pt idx="0">
                  <c:v>TRI / AÑO3</c:v>
                </c:pt>
              </c:strCache>
            </c:strRef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FINANCIEROS'!$H$6</c:f>
              <c:numCache>
                <c:ptCount val="0"/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685058"/>
          <c:y val="0.934151"/>
          <c:w val="0.314942"/>
          <c:h val="0.065848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80107"/>
          <c:y val="0.0438305"/>
          <c:w val="0.902622"/>
          <c:h val="0.889877"/>
        </c:manualLayout>
      </c:layout>
      <c:barChart>
        <c:barDir val="bar"/>
        <c:grouping val="clustered"/>
        <c:varyColors val="0"/>
        <c:ser>
          <c:idx val="0"/>
          <c:order val="0"/>
          <c:tx>
            <c:v>Region 1</c:v>
          </c:tx>
          <c:spPr>
            <a:gradFill flip="none" rotWithShape="1">
              <a:gsLst>
                <a:gs pos="0">
                  <a:schemeClr val="accent1"/>
                </a:gs>
                <a:gs pos="51000">
                  <a:schemeClr val="accent1">
                    <a:alpha val="75000"/>
                  </a:schemeClr>
                </a:gs>
                <a:gs pos="75000">
                  <a:srgbClr val="46B1E1"/>
                </a:gs>
                <a:gs pos="100000">
                  <a:srgbClr val="C1E5F5">
                    <a:alpha val="15000"/>
                  </a:srgbClr>
                </a:gs>
              </a:gsLst>
              <a:lin ang="10800000" scaled="0"/>
            </a:gra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</c:strLit>
          </c:cat>
          <c:val>
            <c:numLit>
              <c:ptCount val="4"/>
              <c:pt idx="0">
                <c:v>17.000000</c:v>
              </c:pt>
              <c:pt idx="1">
                <c:v>26.000000</c:v>
              </c:pt>
              <c:pt idx="2">
                <c:v>53.000000</c:v>
              </c:pt>
              <c:pt idx="3">
                <c:v>96.000000</c:v>
              </c:pt>
            </c:numLit>
          </c:val>
        </c:ser>
        <c:ser>
          <c:idx val="1"/>
          <c:order val="1"/>
          <c:tx>
            <c:v>Region 2</c:v>
          </c:tx>
          <c:spPr>
            <a:solidFill>
              <a:schemeClr val="accent2"/>
            </a:solidFill>
            <a:ln w="1270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4"/>
              <c:pt idx="0">
                <c:v>April</c:v>
              </c:pt>
              <c:pt idx="1">
                <c:v>May</c:v>
              </c:pt>
              <c:pt idx="2">
                <c:v>June</c:v>
              </c:pt>
              <c:pt idx="3">
                <c:v>July</c:v>
              </c:pt>
            </c:strLit>
          </c:cat>
          <c:val>
            <c:numLit>
              <c:ptCount val="4"/>
              <c:pt idx="0">
                <c:v>55.000000</c:v>
              </c:pt>
              <c:pt idx="1">
                <c:v>43.000000</c:v>
              </c:pt>
              <c:pt idx="2">
                <c:v>70.000000</c:v>
              </c:pt>
              <c:pt idx="3">
                <c:v>58.000000</c:v>
              </c:pt>
            </c:numLit>
          </c:val>
        </c:ser>
        <c:gapWidth val="326"/>
        <c:overlap val="-58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905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high"/>
        <c:spPr>
          <a:ln w="1905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0E2841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6121"/>
          <c:y val="0.0506938"/>
          <c:w val="0.852425"/>
          <c:h val="0.855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FINANCIEROS'!$D$4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FINANCIEROS'!$D$16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FINANCIEROS'!$F$4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FINANCIEROS'!$F$16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FINANCIEROS'!$H$4</c:f>
              <c:strCache>
                <c:ptCount val="1"/>
                <c:pt idx="0">
                  <c:v>TRI / AÑO3</c:v>
                </c:pt>
              </c:strCache>
            </c:strRef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FINANCIEROS'!$H$16</c:f>
              <c:numCache>
                <c:ptCount val="0"/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638589"/>
          <c:y val="0.936806"/>
          <c:w val="0.361411"/>
          <c:h val="0.063193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05"/>
          <c:y val="0.005"/>
          <c:w val="0.398496"/>
          <c:h val="0.9875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>
              <a:outerShdw sx="100000" sy="100000" kx="0" ky="0" algn="tl" rotWithShape="1" blurRad="254000" dist="0" dir="0">
                <a:srgbClr val="000000">
                  <a:alpha val="20000"/>
                </a:srgbClr>
              </a:outerShdw>
            </a:effectLst>
          </c:spPr>
          <c:explosion val="0"/>
          <c:dPt>
            <c:idx val="0"/>
            <c:explosion val="0"/>
            <c:spPr>
              <a:solidFill>
                <a:srgbClr val="0E2841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1"/>
            <c:explosion val="0"/>
            <c:spPr>
              <a:solidFill>
                <a:srgbClr val="104862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2"/>
            <c:explosion val="0"/>
            <c:spPr>
              <a:solidFill>
                <a:srgbClr val="46B1E1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3"/>
            <c:explosion val="0"/>
            <c:spPr>
              <a:solidFill>
                <a:srgbClr val="83CBEB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4"/>
            <c:explosion val="0"/>
            <c:spPr>
              <a:solidFill>
                <a:srgbClr val="C1E5F5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9525" cap="flat">
                  <a:solidFill>
                    <a:srgbClr val="808080"/>
                  </a:solidFill>
                  <a:prstDash val="solid"/>
                  <a:round/>
                </a:ln>
                <a:effectLst/>
              </c:spPr>
            </c:leaderLines>
          </c:dLbls>
          <c:cat>
            <c:strRef>
              <c:f>'ESTADOS FINANCIEROS'!$C$6,'ESTADOS FINANCIEROS'!$C$8,'ESTADOS FINANCIEROS'!$C$10,'ESTADOS FINANCIEROS'!$C$14,'ESTADOS FINANCIEROS'!$C$16</c:f>
              <c:strCache>
                <c:ptCount val="5"/>
                <c:pt idx="0">
                  <c:v>VENTAS</c:v>
                </c:pt>
                <c:pt idx="1">
                  <c:v>Ut. Bruta</c:v>
                </c:pt>
                <c:pt idx="2">
                  <c:v>UT. De operación</c:v>
                </c:pt>
                <c:pt idx="3">
                  <c:v>UT. Antes de impuestos</c:v>
                </c:pt>
                <c:pt idx="4">
                  <c:v>UTILIDAD NETA</c:v>
                </c:pt>
              </c:strCache>
            </c:strRef>
          </c:cat>
          <c:val>
            <c:numRef>
              <c:f>'ESTADOS FINANCIEROS'!$D$6,'ESTADOS FINANCIEROS'!$D$8,'ESTADOS FINANCIEROS'!$D$10,'ESTADOS FINANCIEROS'!$D$14,'ESTADOS FINANCIEROS'!$D$16</c:f>
              <c:numCache>
                <c:ptCount val="0"/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640087"/>
          <c:y val="0.249289"/>
          <c:w val="0.359913"/>
          <c:h val="0.422399"/>
        </c:manualLayout>
      </c:layout>
      <c:overlay val="1"/>
      <c:spPr>
        <a:solidFill>
          <a:srgbClr val="F2F2F2">
            <a:alpha val="39000"/>
          </a:srgbClr>
        </a:solidFill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806"/>
          <c:y val="0.0763302"/>
          <c:w val="0.853194"/>
          <c:h val="0.70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FINANCIEROS'!$C$32</c:f>
              <c:strCache>
                <c:ptCount val="1"/>
                <c:pt idx="0">
                  <c:v>ACTIVO TOTAL</c:v>
                </c:pt>
              </c:strCache>
            </c:strRef>
          </c:tx>
          <c:spPr>
            <a:solidFill>
              <a:srgbClr val="0A30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FINANCIEROS'!$D$32,'ESTADOS FINANCIEROS'!$F$32,'ESTADOS FINANCIEROS'!$H$32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FINANCIEROS'!$C$41</c:f>
              <c:strCache>
                <c:ptCount val="1"/>
                <c:pt idx="0">
                  <c:v>PASIVO TOTAL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FINANCIEROS'!$D$41,'ESTADOS FINANCIEROS'!$F$41,'ESTADOS FINANCIEROS'!$H$41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FINANCIEROS'!$C$44</c:f>
              <c:strCache>
                <c:ptCount val="1"/>
                <c:pt idx="0">
                  <c:v>CAPITAL CONTABLE</c:v>
                </c:pt>
              </c:strCache>
            </c:strRef>
          </c:tx>
          <c:spPr>
            <a:solidFill>
              <a:srgbClr val="C1E5F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FINANCIEROS'!$D$44,'ESTADOS FINANCIEROS'!$F$44,'ESTADOS FINANCIEROS'!$F$44</c:f>
              <c:numCache>
                <c:ptCount val="0"/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91693"/>
          <c:y val="0.91117"/>
          <c:w val="0.690295"/>
          <c:h val="0.088830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745262</xdr:colOff>
      <xdr:row>6</xdr:row>
      <xdr:rowOff>279400</xdr:rowOff>
    </xdr:from>
    <xdr:to>
      <xdr:col>7</xdr:col>
      <xdr:colOff>204697</xdr:colOff>
      <xdr:row>21</xdr:row>
      <xdr:rowOff>111759</xdr:rowOff>
    </xdr:to>
    <xdr:graphicFrame>
      <xdr:nvGraphicFramePr>
        <xdr:cNvPr id="2" name="Gráfico 1"/>
        <xdr:cNvGraphicFramePr/>
      </xdr:nvGraphicFramePr>
      <xdr:xfrm>
        <a:off x="1367562" y="1955800"/>
        <a:ext cx="3764736" cy="298196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8</xdr:col>
      <xdr:colOff>5451</xdr:colOff>
      <xdr:row>9</xdr:row>
      <xdr:rowOff>22857</xdr:rowOff>
    </xdr:from>
    <xdr:to>
      <xdr:col>15</xdr:col>
      <xdr:colOff>785976</xdr:colOff>
      <xdr:row>21</xdr:row>
      <xdr:rowOff>203084</xdr:rowOff>
    </xdr:to>
    <xdr:graphicFrame>
      <xdr:nvGraphicFramePr>
        <xdr:cNvPr id="3" name="Gráfico 2"/>
        <xdr:cNvGraphicFramePr/>
      </xdr:nvGraphicFramePr>
      <xdr:xfrm>
        <a:off x="5809351" y="2410457"/>
        <a:ext cx="6647926" cy="261862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2</xdr:col>
      <xdr:colOff>776859</xdr:colOff>
      <xdr:row>23</xdr:row>
      <xdr:rowOff>72811</xdr:rowOff>
    </xdr:from>
    <xdr:to>
      <xdr:col>8</xdr:col>
      <xdr:colOff>846452</xdr:colOff>
      <xdr:row>39</xdr:row>
      <xdr:rowOff>8889</xdr:rowOff>
    </xdr:to>
    <xdr:graphicFrame>
      <xdr:nvGraphicFramePr>
        <xdr:cNvPr id="4" name="Gráfico 3"/>
        <xdr:cNvGraphicFramePr/>
      </xdr:nvGraphicFramePr>
      <xdr:xfrm>
        <a:off x="1399159" y="5305211"/>
        <a:ext cx="5251194" cy="318727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8</xdr:col>
      <xdr:colOff>893984</xdr:colOff>
      <xdr:row>25</xdr:row>
      <xdr:rowOff>12266</xdr:rowOff>
    </xdr:from>
    <xdr:to>
      <xdr:col>15</xdr:col>
      <xdr:colOff>765603</xdr:colOff>
      <xdr:row>38</xdr:row>
      <xdr:rowOff>126427</xdr:rowOff>
    </xdr:to>
    <xdr:graphicFrame>
      <xdr:nvGraphicFramePr>
        <xdr:cNvPr id="5" name="Gráfico 4"/>
        <xdr:cNvGraphicFramePr/>
      </xdr:nvGraphicFramePr>
      <xdr:xfrm>
        <a:off x="6697883" y="5651066"/>
        <a:ext cx="5739021" cy="275576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10</xdr:col>
      <xdr:colOff>529663</xdr:colOff>
      <xdr:row>40</xdr:row>
      <xdr:rowOff>134619</xdr:rowOff>
    </xdr:from>
    <xdr:to>
      <xdr:col>15</xdr:col>
      <xdr:colOff>812946</xdr:colOff>
      <xdr:row>49</xdr:row>
      <xdr:rowOff>88899</xdr:rowOff>
    </xdr:to>
    <xdr:graphicFrame>
      <xdr:nvGraphicFramePr>
        <xdr:cNvPr id="6" name="Gráfico 5"/>
        <xdr:cNvGraphicFramePr/>
      </xdr:nvGraphicFramePr>
      <xdr:xfrm>
        <a:off x="8073463" y="8821419"/>
        <a:ext cx="4410784" cy="17576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8</xdr:col>
      <xdr:colOff>976415</xdr:colOff>
      <xdr:row>50</xdr:row>
      <xdr:rowOff>51721</xdr:rowOff>
    </xdr:from>
    <xdr:to>
      <xdr:col>15</xdr:col>
      <xdr:colOff>617928</xdr:colOff>
      <xdr:row>59</xdr:row>
      <xdr:rowOff>91227</xdr:rowOff>
    </xdr:to>
    <xdr:graphicFrame>
      <xdr:nvGraphicFramePr>
        <xdr:cNvPr id="7" name="Gráfico 6"/>
        <xdr:cNvGraphicFramePr/>
      </xdr:nvGraphicFramePr>
      <xdr:xfrm>
        <a:off x="6780315" y="10745121"/>
        <a:ext cx="5508914" cy="183020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10.8333" defaultRowHeight="14.4" customHeight="1" outlineLevelRow="0" outlineLevelCol="0"/>
  <cols>
    <col min="1" max="1" width="10.8516" style="1" customWidth="1"/>
    <col min="2" max="2" width="3.85156" style="1" customWidth="1"/>
    <col min="3" max="3" width="15.8516" style="1" customWidth="1"/>
    <col min="4" max="4" width="66" style="1" customWidth="1"/>
    <col min="5" max="5" width="14.6719" style="1" customWidth="1"/>
    <col min="6" max="16384" width="10.8516" style="1" customWidth="1"/>
  </cols>
  <sheetData>
    <row r="1" ht="16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7"/>
      <c r="E2" s="8"/>
    </row>
    <row r="3" ht="20.4" customHeight="1">
      <c r="A3" s="5"/>
      <c r="B3" s="6"/>
      <c r="C3" s="9"/>
      <c r="D3" t="s" s="10">
        <v>0</v>
      </c>
      <c r="E3" s="11"/>
    </row>
    <row r="4" ht="15" customHeight="1">
      <c r="A4" s="5"/>
      <c r="B4" s="6"/>
      <c r="C4" s="9"/>
      <c r="D4" t="s" s="12">
        <v>1</v>
      </c>
      <c r="E4" t="s" s="12">
        <v>2</v>
      </c>
    </row>
    <row r="5" ht="16.5" customHeight="1">
      <c r="A5" s="5"/>
      <c r="B5" s="6"/>
      <c r="C5" t="s" s="13">
        <v>3</v>
      </c>
      <c r="D5" t="s" s="14">
        <v>4</v>
      </c>
      <c r="E5" s="15"/>
    </row>
    <row r="6" ht="16" customHeight="1">
      <c r="A6" s="5"/>
      <c r="B6" s="6"/>
      <c r="C6" t="s" s="13">
        <v>5</v>
      </c>
      <c r="D6" t="s" s="16">
        <v>6</v>
      </c>
      <c r="E6" s="17"/>
    </row>
    <row r="7" ht="16" customHeight="1">
      <c r="A7" s="5"/>
      <c r="B7" s="6"/>
      <c r="C7" t="s" s="13">
        <v>7</v>
      </c>
      <c r="D7" t="s" s="16">
        <v>8</v>
      </c>
      <c r="E7" s="17"/>
    </row>
    <row r="8" ht="15" customHeight="1">
      <c r="A8" s="5"/>
      <c r="B8" s="6"/>
      <c r="C8" t="s" s="13">
        <v>7</v>
      </c>
      <c r="D8" t="s" s="18">
        <v>9</v>
      </c>
      <c r="E8" s="19"/>
    </row>
    <row r="9" ht="15" customHeight="1">
      <c r="A9" s="5"/>
      <c r="B9" s="6"/>
      <c r="C9" s="6"/>
      <c r="D9" s="20"/>
      <c r="E9" s="21"/>
    </row>
    <row r="10" ht="20.4" customHeight="1">
      <c r="A10" s="5"/>
      <c r="B10" s="6"/>
      <c r="C10" s="9"/>
      <c r="D10" t="s" s="10">
        <v>10</v>
      </c>
      <c r="E10" s="11"/>
    </row>
    <row r="11" ht="15" customHeight="1">
      <c r="A11" s="5"/>
      <c r="B11" s="6"/>
      <c r="C11" s="9"/>
      <c r="D11" t="s" s="22">
        <v>1</v>
      </c>
      <c r="E11" t="s" s="22">
        <v>11</v>
      </c>
    </row>
    <row r="12" ht="15" customHeight="1">
      <c r="A12" s="5"/>
      <c r="B12" s="6"/>
      <c r="C12" s="9"/>
      <c r="D12" t="s" s="16">
        <v>12</v>
      </c>
      <c r="E12" s="17"/>
    </row>
    <row r="13" ht="15" customHeight="1">
      <c r="A13" s="5"/>
      <c r="B13" s="6"/>
      <c r="C13" s="9"/>
      <c r="D13" t="s" s="16">
        <v>13</v>
      </c>
      <c r="E13" s="23"/>
    </row>
    <row r="14" ht="15" customHeight="1">
      <c r="A14" s="5"/>
      <c r="B14" s="6"/>
      <c r="C14" s="9"/>
      <c r="D14" t="s" s="16">
        <v>14</v>
      </c>
      <c r="E14" s="24"/>
    </row>
    <row r="15" ht="15" customHeight="1">
      <c r="A15" s="25"/>
      <c r="B15" s="26"/>
      <c r="C15" s="27"/>
      <c r="D15" t="s" s="18">
        <v>15</v>
      </c>
      <c r="E15" s="28"/>
    </row>
  </sheetData>
  <pageMargins left="0.7" right="0.7" top="0.75" bottom="0.75" header="0.3" footer="0.3"/>
  <pageSetup firstPageNumber="1" fitToHeight="1" fitToWidth="1" scale="81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70"/>
  <sheetViews>
    <sheetView workbookViewId="0" showGridLines="0" defaultGridColor="1"/>
  </sheetViews>
  <sheetFormatPr defaultColWidth="10.8333" defaultRowHeight="14.4" customHeight="1" outlineLevelRow="0" outlineLevelCol="0"/>
  <cols>
    <col min="1" max="1" width="4" style="29" customWidth="1"/>
    <col min="2" max="2" width="3.85156" style="29" customWidth="1"/>
    <col min="3" max="3" width="38.3516" style="29" customWidth="1"/>
    <col min="4" max="4" width="17" style="29" customWidth="1"/>
    <col min="5" max="5" width="13.5" style="29" customWidth="1"/>
    <col min="6" max="6" width="17" style="29" customWidth="1"/>
    <col min="7" max="7" width="13.6719" style="29" customWidth="1"/>
    <col min="8" max="8" width="16.8516" style="29" customWidth="1"/>
    <col min="9" max="9" width="13.5" style="29" customWidth="1"/>
    <col min="10" max="16384" width="10.8516" style="29" customWidth="1"/>
  </cols>
  <sheetData>
    <row r="1" ht="16" customHeight="1">
      <c r="A1" s="30"/>
      <c r="B1" s="31"/>
      <c r="C1" s="31"/>
      <c r="D1" s="31"/>
      <c r="E1" s="31"/>
      <c r="F1" s="31"/>
      <c r="G1" s="31"/>
      <c r="H1" s="31"/>
      <c r="I1" s="32"/>
    </row>
    <row r="2" ht="18" customHeight="1">
      <c r="A2" s="33"/>
      <c r="B2" s="34"/>
      <c r="C2" s="35"/>
      <c r="D2" s="35"/>
      <c r="E2" s="35"/>
      <c r="F2" s="35"/>
      <c r="G2" s="35"/>
      <c r="H2" s="35"/>
      <c r="I2" s="36"/>
    </row>
    <row r="3" ht="20.4" customHeight="1">
      <c r="A3" s="33"/>
      <c r="B3" s="37"/>
      <c r="C3" t="s" s="10">
        <v>16</v>
      </c>
      <c r="D3" s="38"/>
      <c r="E3" s="38"/>
      <c r="F3" s="39"/>
      <c r="G3" s="38"/>
      <c r="H3" s="39"/>
      <c r="I3" s="11"/>
    </row>
    <row r="4" ht="15" customHeight="1">
      <c r="A4" s="33"/>
      <c r="B4" s="37"/>
      <c r="C4" s="40"/>
      <c r="D4" t="s" s="41">
        <v>17</v>
      </c>
      <c r="E4" t="s" s="42">
        <v>18</v>
      </c>
      <c r="F4" t="s" s="42">
        <v>19</v>
      </c>
      <c r="G4" t="s" s="42">
        <v>20</v>
      </c>
      <c r="H4" t="s" s="42">
        <v>21</v>
      </c>
      <c r="I4" t="s" s="43">
        <v>22</v>
      </c>
    </row>
    <row r="5" ht="15" customHeight="1">
      <c r="A5" s="33"/>
      <c r="B5" s="37"/>
      <c r="C5" s="44"/>
      <c r="D5" s="45"/>
      <c r="E5" s="46"/>
      <c r="F5" s="46"/>
      <c r="G5" s="46"/>
      <c r="H5" s="46"/>
      <c r="I5" s="47"/>
    </row>
    <row r="6" ht="15" customHeight="1">
      <c r="A6" s="33"/>
      <c r="B6" s="37"/>
      <c r="C6" t="s" s="48">
        <v>23</v>
      </c>
      <c r="D6" s="49"/>
      <c r="E6" s="50" cm="1">
        <f t="array" ref="E6">D6/D$6</f>
      </c>
      <c r="F6" s="49"/>
      <c r="G6" s="50" cm="1">
        <f t="array" ref="G6">F6/F$6</f>
      </c>
      <c r="H6" s="49"/>
      <c r="I6" s="50" cm="1">
        <f t="array" ref="I6">H6/H$6</f>
      </c>
    </row>
    <row r="7" ht="16.5" customHeight="1">
      <c r="A7" s="33"/>
      <c r="B7" s="37"/>
      <c r="C7" t="s" s="51">
        <v>24</v>
      </c>
      <c r="D7" s="52"/>
      <c r="E7" s="53" cm="1">
        <f t="array" ref="E7">D7/D$6</f>
      </c>
      <c r="F7" s="52"/>
      <c r="G7" s="53" cm="1">
        <f t="array" ref="G7">F7/F$6</f>
      </c>
      <c r="H7" s="52"/>
      <c r="I7" s="53" cm="1">
        <f t="array" ref="I7">H7/H$6</f>
      </c>
    </row>
    <row r="8" ht="16" customHeight="1">
      <c r="A8" s="33"/>
      <c r="B8" s="37"/>
      <c r="C8" t="s" s="54">
        <v>25</v>
      </c>
      <c r="D8" s="55"/>
      <c r="E8" s="56" cm="1">
        <f t="array" ref="E8">D8/D$6</f>
      </c>
      <c r="F8" s="55"/>
      <c r="G8" s="56" cm="1">
        <f t="array" ref="G8">F8/F$6</f>
      </c>
      <c r="H8" s="55"/>
      <c r="I8" s="56" cm="1">
        <f t="array" ref="I8">H8/H$6</f>
      </c>
    </row>
    <row r="9" ht="16" customHeight="1">
      <c r="A9" s="33"/>
      <c r="B9" s="37"/>
      <c r="C9" t="s" s="57">
        <v>26</v>
      </c>
      <c r="D9" s="58"/>
      <c r="E9" s="59" cm="1">
        <f t="array" ref="E9">D9/D$6</f>
      </c>
      <c r="F9" s="58"/>
      <c r="G9" s="59" cm="1">
        <f t="array" ref="G9">F9/F$6</f>
      </c>
      <c r="H9" s="58"/>
      <c r="I9" s="59" cm="1">
        <f t="array" ref="I9">H9/H$6</f>
      </c>
    </row>
    <row r="10" ht="16" customHeight="1">
      <c r="A10" s="33"/>
      <c r="B10" s="37"/>
      <c r="C10" t="s" s="54">
        <v>27</v>
      </c>
      <c r="D10" s="55"/>
      <c r="E10" s="56" cm="1">
        <f t="array" ref="E10">D10/D$6</f>
      </c>
      <c r="F10" s="55"/>
      <c r="G10" s="56" cm="1">
        <f t="array" ref="G10">F10/F$6</f>
      </c>
      <c r="H10" s="55"/>
      <c r="I10" s="56" cm="1">
        <f t="array" ref="I10">H10/H$6</f>
      </c>
    </row>
    <row r="11" ht="16" customHeight="1">
      <c r="A11" s="33"/>
      <c r="B11" s="37"/>
      <c r="C11" t="s" s="57">
        <v>28</v>
      </c>
      <c r="D11" s="58"/>
      <c r="E11" s="59" cm="1">
        <f t="array" ref="E11">D11/D$6</f>
      </c>
      <c r="F11" s="58"/>
      <c r="G11" s="59" cm="1">
        <f t="array" ref="G11">F11/F$6</f>
      </c>
      <c r="H11" s="58"/>
      <c r="I11" s="59" cm="1">
        <f t="array" ref="I11">H11/H$6</f>
      </c>
    </row>
    <row r="12" ht="16" customHeight="1">
      <c r="A12" s="33"/>
      <c r="B12" s="37"/>
      <c r="C12" t="s" s="60">
        <v>29</v>
      </c>
      <c r="D12" s="61"/>
      <c r="E12" s="62" cm="1">
        <f t="array" ref="E12">D12/D$6</f>
      </c>
      <c r="F12" s="61"/>
      <c r="G12" s="62" cm="1">
        <f t="array" ref="G12">F12/F$6</f>
      </c>
      <c r="H12" s="61"/>
      <c r="I12" s="62" cm="1">
        <f t="array" ref="I12">H12/H$6</f>
      </c>
    </row>
    <row r="13" ht="16" customHeight="1">
      <c r="A13" s="33"/>
      <c r="B13" s="37"/>
      <c r="C13" t="s" s="60">
        <v>30</v>
      </c>
      <c r="D13" s="61"/>
      <c r="E13" s="62" cm="1">
        <f t="array" ref="E13">D13/D$6</f>
      </c>
      <c r="F13" s="61"/>
      <c r="G13" s="62" cm="1">
        <f t="array" ref="G13">F13/F$6</f>
      </c>
      <c r="H13" s="61"/>
      <c r="I13" s="62" cm="1">
        <f t="array" ref="I13">H13/H$6</f>
      </c>
    </row>
    <row r="14" ht="16" customHeight="1">
      <c r="A14" s="33"/>
      <c r="B14" s="37"/>
      <c r="C14" t="s" s="54">
        <v>31</v>
      </c>
      <c r="D14" s="55"/>
      <c r="E14" s="56" cm="1">
        <f t="array" ref="E14">D14/D$6</f>
      </c>
      <c r="F14" s="55"/>
      <c r="G14" s="56" cm="1">
        <f t="array" ref="G14">F14/F$6</f>
      </c>
      <c r="H14" s="55"/>
      <c r="I14" s="56" cm="1">
        <f t="array" ref="I14">H14/H$6</f>
      </c>
    </row>
    <row r="15" ht="16" customHeight="1">
      <c r="A15" s="33"/>
      <c r="B15" s="37"/>
      <c r="C15" t="s" s="57">
        <v>32</v>
      </c>
      <c r="D15" s="58"/>
      <c r="E15" s="59" cm="1">
        <f t="array" ref="E15">D15/D$6</f>
      </c>
      <c r="F15" s="58"/>
      <c r="G15" s="59" cm="1">
        <f t="array" ref="G15">F15/F$6</f>
      </c>
      <c r="H15" s="58"/>
      <c r="I15" s="59" cm="1">
        <f t="array" ref="I15">H15/H$6</f>
      </c>
    </row>
    <row r="16" ht="15" customHeight="1">
      <c r="A16" s="33"/>
      <c r="B16" s="37"/>
      <c r="C16" t="s" s="63">
        <v>33</v>
      </c>
      <c r="D16" s="64"/>
      <c r="E16" s="65" cm="1">
        <f t="array" ref="E16">D16/D$6</f>
      </c>
      <c r="F16" s="64"/>
      <c r="G16" s="65" cm="1">
        <f t="array" ref="G16">F16/F$6</f>
      </c>
      <c r="H16" s="64"/>
      <c r="I16" s="65" cm="1">
        <f t="array" ref="I16">H16/H$6</f>
      </c>
    </row>
    <row r="17" ht="15" customHeight="1">
      <c r="A17" s="33"/>
      <c r="B17" s="34"/>
      <c r="C17" s="66"/>
      <c r="D17" s="67"/>
      <c r="E17" s="67"/>
      <c r="F17" s="67"/>
      <c r="G17" s="67"/>
      <c r="H17" s="67"/>
      <c r="I17" s="68"/>
    </row>
    <row r="18" ht="20.4" customHeight="1">
      <c r="A18" s="33"/>
      <c r="B18" s="37"/>
      <c r="C18" t="s" s="10">
        <v>34</v>
      </c>
      <c r="D18" s="38"/>
      <c r="E18" s="38"/>
      <c r="F18" s="39"/>
      <c r="G18" s="38"/>
      <c r="H18" s="39"/>
      <c r="I18" s="11"/>
    </row>
    <row r="19" ht="15" customHeight="1">
      <c r="A19" s="33"/>
      <c r="B19" s="37"/>
      <c r="C19" s="69"/>
      <c r="D19" t="s" s="41">
        <v>17</v>
      </c>
      <c r="E19" t="s" s="42">
        <v>18</v>
      </c>
      <c r="F19" t="s" s="42">
        <v>19</v>
      </c>
      <c r="G19" t="s" s="42">
        <v>20</v>
      </c>
      <c r="H19" t="s" s="42">
        <v>21</v>
      </c>
      <c r="I19" t="s" s="43">
        <v>22</v>
      </c>
    </row>
    <row r="20" ht="15" customHeight="1">
      <c r="A20" s="33"/>
      <c r="B20" s="37"/>
      <c r="C20" s="70"/>
      <c r="D20" s="49"/>
      <c r="E20" s="50"/>
      <c r="F20" s="49"/>
      <c r="G20" s="50"/>
      <c r="H20" s="49"/>
      <c r="I20" s="50"/>
    </row>
    <row r="21" ht="16.5" customHeight="1">
      <c r="A21" s="33"/>
      <c r="B21" s="37"/>
      <c r="C21" t="s" s="71">
        <v>35</v>
      </c>
      <c r="D21" s="72"/>
      <c r="E21" s="73" cm="1">
        <f t="array" ref="E21">D21/D$34</f>
      </c>
      <c r="F21" s="72"/>
      <c r="G21" s="73" cm="1">
        <f t="array" ref="G21">F21/F$34</f>
      </c>
      <c r="H21" s="72"/>
      <c r="I21" s="73" cm="1">
        <f t="array" ref="I21">H21/H$34</f>
      </c>
    </row>
    <row r="22" ht="16" customHeight="1">
      <c r="A22" s="33"/>
      <c r="B22" s="37"/>
      <c r="C22" t="s" s="57">
        <v>36</v>
      </c>
      <c r="D22" s="74"/>
      <c r="E22" s="74" cm="1">
        <f t="array" ref="E22">D22/D$32</f>
      </c>
      <c r="F22" s="74"/>
      <c r="G22" s="74" cm="1">
        <f t="array" ref="G22">F22/F$32</f>
      </c>
      <c r="H22" s="74"/>
      <c r="I22" s="74" cm="1">
        <f t="array" ref="I22">H22/H$32</f>
      </c>
    </row>
    <row r="23" ht="16" customHeight="1">
      <c r="A23" s="33"/>
      <c r="B23" s="37"/>
      <c r="C23" t="s" s="60">
        <v>37</v>
      </c>
      <c r="D23" s="61"/>
      <c r="E23" s="61" cm="1">
        <f t="array" ref="E23">D23/D$32</f>
      </c>
      <c r="F23" s="61"/>
      <c r="G23" s="61" cm="1">
        <f t="array" ref="G23">F23/F$32</f>
      </c>
      <c r="H23" s="61"/>
      <c r="I23" s="61" cm="1">
        <f t="array" ref="I23">H23/H$32</f>
      </c>
    </row>
    <row r="24" ht="16" customHeight="1">
      <c r="A24" s="33"/>
      <c r="B24" s="37"/>
      <c r="C24" t="s" s="60">
        <v>38</v>
      </c>
      <c r="D24" s="61"/>
      <c r="E24" s="61" cm="1">
        <f t="array" ref="E24">D24/D$32</f>
      </c>
      <c r="F24" s="61"/>
      <c r="G24" s="61" cm="1">
        <f t="array" ref="G24">F24/F$32</f>
      </c>
      <c r="H24" s="61"/>
      <c r="I24" s="61" cm="1">
        <f t="array" ref="I24">H24/H$32</f>
      </c>
    </row>
    <row r="25" ht="16" customHeight="1">
      <c r="A25" s="33"/>
      <c r="B25" s="37"/>
      <c r="C25" t="s" s="60">
        <v>39</v>
      </c>
      <c r="D25" s="61"/>
      <c r="E25" s="61" cm="1">
        <f t="array" ref="E25">D25/D$32</f>
      </c>
      <c r="F25" s="61"/>
      <c r="G25" s="61" cm="1">
        <f t="array" ref="G25">F25/F$32</f>
      </c>
      <c r="H25" s="61"/>
      <c r="I25" s="61" cm="1">
        <f t="array" ref="I25">H25/H$32</f>
      </c>
    </row>
    <row r="26" ht="16" customHeight="1">
      <c r="A26" s="33"/>
      <c r="B26" s="37"/>
      <c r="C26" t="s" s="54">
        <v>40</v>
      </c>
      <c r="D26" s="55"/>
      <c r="E26" s="55" cm="1">
        <f t="array" ref="E26">D26/D$32</f>
      </c>
      <c r="F26" s="55"/>
      <c r="G26" s="55" cm="1">
        <f t="array" ref="G26">F26/F$32</f>
      </c>
      <c r="H26" s="55"/>
      <c r="I26" s="55" cm="1">
        <f t="array" ref="I26">H26/H$32</f>
      </c>
    </row>
    <row r="27" ht="16" customHeight="1">
      <c r="A27" s="33"/>
      <c r="B27" s="37"/>
      <c r="C27" t="s" s="57">
        <v>41</v>
      </c>
      <c r="D27" s="58"/>
      <c r="E27" s="58" cm="1">
        <f t="array" ref="E27">D27/D$32</f>
      </c>
      <c r="F27" s="58"/>
      <c r="G27" s="58" cm="1">
        <f t="array" ref="G27">F27/F$32</f>
      </c>
      <c r="H27" s="58"/>
      <c r="I27" s="58" cm="1">
        <f t="array" ref="I27">H27/H$32</f>
      </c>
    </row>
    <row r="28" ht="16" customHeight="1">
      <c r="A28" s="33"/>
      <c r="B28" s="37"/>
      <c r="C28" t="s" s="60">
        <v>42</v>
      </c>
      <c r="D28" s="61"/>
      <c r="E28" s="61" cm="1">
        <f t="array" ref="E28">D28/D$32</f>
      </c>
      <c r="F28" s="61"/>
      <c r="G28" s="61" cm="1">
        <f t="array" ref="G28">F28/F$32</f>
      </c>
      <c r="H28" s="61"/>
      <c r="I28" s="61" cm="1">
        <f t="array" ref="I28">H28/H$32</f>
      </c>
    </row>
    <row r="29" ht="16" customHeight="1">
      <c r="A29" s="33"/>
      <c r="B29" s="37"/>
      <c r="C29" t="s" s="60">
        <v>43</v>
      </c>
      <c r="D29" s="61"/>
      <c r="E29" s="61" cm="1">
        <f t="array" ref="E29">D29/D$32</f>
      </c>
      <c r="F29" s="61"/>
      <c r="G29" s="61" cm="1">
        <f t="array" ref="G29">F29/F$32</f>
      </c>
      <c r="H29" s="61"/>
      <c r="I29" s="61" cm="1">
        <f t="array" ref="I29">H29/H$32</f>
      </c>
    </row>
    <row r="30" ht="16" customHeight="1">
      <c r="A30" s="33"/>
      <c r="B30" s="37"/>
      <c r="C30" t="s" s="54">
        <v>44</v>
      </c>
      <c r="D30" s="55"/>
      <c r="E30" s="55" cm="1">
        <f t="array" ref="E30">D30/D$32</f>
      </c>
      <c r="F30" s="55"/>
      <c r="G30" s="55" cm="1">
        <f t="array" ref="G30">F30/F$32</f>
      </c>
      <c r="H30" s="55"/>
      <c r="I30" s="55" cm="1">
        <f t="array" ref="I30">H30/H$32</f>
      </c>
    </row>
    <row r="31" ht="16" customHeight="1">
      <c r="A31" s="33"/>
      <c r="B31" s="37"/>
      <c r="C31" t="s" s="57">
        <v>45</v>
      </c>
      <c r="D31" s="58"/>
      <c r="E31" s="58" cm="1">
        <f t="array" ref="E31">D31/D$32</f>
      </c>
      <c r="F31" s="58"/>
      <c r="G31" s="58" cm="1">
        <f t="array" ref="G31">F31/F$32</f>
      </c>
      <c r="H31" s="58"/>
      <c r="I31" s="58" cm="1">
        <f t="array" ref="I31">H31/H$32</f>
      </c>
    </row>
    <row r="32" ht="15" customHeight="1">
      <c r="A32" s="33"/>
      <c r="B32" s="37"/>
      <c r="C32" t="s" s="54">
        <v>46</v>
      </c>
      <c r="D32" s="55"/>
      <c r="E32" s="55" cm="1">
        <f t="array" ref="E32">D32/D$32</f>
      </c>
      <c r="F32" s="55"/>
      <c r="G32" s="55" cm="1">
        <f t="array" ref="G32">F32/F$32</f>
      </c>
      <c r="H32" s="55"/>
      <c r="I32" s="55" cm="1">
        <f t="array" ref="I32">H32/H$32</f>
      </c>
    </row>
    <row r="33" ht="15.6" customHeight="1">
      <c r="A33" s="33"/>
      <c r="B33" s="37"/>
      <c r="C33" s="75"/>
      <c r="D33" s="76"/>
      <c r="E33" s="77"/>
      <c r="F33" s="76"/>
      <c r="G33" s="77"/>
      <c r="H33" s="76"/>
      <c r="I33" s="77"/>
    </row>
    <row r="34" ht="16.5" customHeight="1">
      <c r="A34" s="33"/>
      <c r="B34" s="37"/>
      <c r="C34" t="s" s="71">
        <v>47</v>
      </c>
      <c r="D34" s="72"/>
      <c r="E34" s="73" cm="1">
        <f t="array" ref="E34">D34/D$45</f>
      </c>
      <c r="F34" s="72"/>
      <c r="G34" s="73" cm="1">
        <f t="array" ref="G34">F34/F$45</f>
      </c>
      <c r="H34" s="72"/>
      <c r="I34" s="73" cm="1">
        <f t="array" ref="I34">H34/H$45</f>
      </c>
    </row>
    <row r="35" ht="16" customHeight="1">
      <c r="A35" s="33"/>
      <c r="B35" s="37"/>
      <c r="C35" t="s" s="57">
        <v>48</v>
      </c>
      <c r="D35" s="58"/>
      <c r="E35" s="59" cm="1">
        <f t="array" ref="E35">D35/D$45</f>
      </c>
      <c r="F35" s="58"/>
      <c r="G35" s="59" cm="1">
        <f t="array" ref="G35">F35/F$45</f>
      </c>
      <c r="H35" s="58"/>
      <c r="I35" s="59" cm="1">
        <f t="array" ref="I35">H35/H$45</f>
      </c>
    </row>
    <row r="36" ht="16" customHeight="1">
      <c r="A36" s="33"/>
      <c r="B36" s="37"/>
      <c r="C36" t="s" s="60">
        <v>49</v>
      </c>
      <c r="D36" s="61"/>
      <c r="E36" s="62" cm="1">
        <f t="array" ref="E36">D36/D$45</f>
      </c>
      <c r="F36" s="61"/>
      <c r="G36" s="62" cm="1">
        <f t="array" ref="G36">F36/F$45</f>
      </c>
      <c r="H36" s="61"/>
      <c r="I36" s="62" cm="1">
        <f t="array" ref="I36">H36/H$45</f>
      </c>
    </row>
    <row r="37" ht="16" customHeight="1">
      <c r="A37" s="33"/>
      <c r="B37" s="37"/>
      <c r="C37" t="s" s="60">
        <v>50</v>
      </c>
      <c r="D37" s="61"/>
      <c r="E37" s="62" cm="1">
        <f t="array" ref="E37">D37/D$45</f>
      </c>
      <c r="F37" s="61"/>
      <c r="G37" s="62" cm="1">
        <f t="array" ref="G37">F37/F$45</f>
      </c>
      <c r="H37" s="61"/>
      <c r="I37" s="62" cm="1">
        <f t="array" ref="I37">H37/H$45</f>
      </c>
    </row>
    <row r="38" ht="16" customHeight="1">
      <c r="A38" s="33"/>
      <c r="B38" s="37"/>
      <c r="C38" t="s" s="54">
        <v>51</v>
      </c>
      <c r="D38" s="55"/>
      <c r="E38" s="56" cm="1">
        <f t="array" ref="E38">D38/D$45</f>
      </c>
      <c r="F38" s="55"/>
      <c r="G38" s="56" cm="1">
        <f t="array" ref="G38">F38/F$45</f>
      </c>
      <c r="H38" s="55"/>
      <c r="I38" s="56" cm="1">
        <f t="array" ref="I38">H38/H$45</f>
      </c>
    </row>
    <row r="39" ht="16" customHeight="1">
      <c r="A39" s="33"/>
      <c r="B39" s="37"/>
      <c r="C39" t="s" s="57">
        <v>52</v>
      </c>
      <c r="D39" s="58"/>
      <c r="E39" s="59" cm="1">
        <f t="array" ref="E39">D39/D$45</f>
      </c>
      <c r="F39" s="58"/>
      <c r="G39" s="59" cm="1">
        <f t="array" ref="G39">F39/F$45</f>
      </c>
      <c r="H39" s="58"/>
      <c r="I39" s="59" cm="1">
        <f t="array" ref="I39">H39/H$45</f>
      </c>
    </row>
    <row r="40" ht="16" customHeight="1">
      <c r="A40" s="33"/>
      <c r="B40" s="37"/>
      <c r="C40" t="s" s="60">
        <v>53</v>
      </c>
      <c r="D40" s="61"/>
      <c r="E40" s="62" cm="1">
        <f t="array" ref="E40">D40/D$45</f>
      </c>
      <c r="F40" s="61"/>
      <c r="G40" s="62" cm="1">
        <f t="array" ref="G40">F40/F$45</f>
      </c>
      <c r="H40" s="61"/>
      <c r="I40" s="62" cm="1">
        <f t="array" ref="I40">H40/H$45</f>
      </c>
    </row>
    <row r="41" ht="16" customHeight="1">
      <c r="A41" s="33"/>
      <c r="B41" s="37"/>
      <c r="C41" t="s" s="54">
        <v>54</v>
      </c>
      <c r="D41" s="55"/>
      <c r="E41" s="56" cm="1">
        <f t="array" ref="E41">D41/D$45</f>
      </c>
      <c r="F41" s="55"/>
      <c r="G41" s="56" cm="1">
        <f t="array" ref="G41">F41/F$45</f>
      </c>
      <c r="H41" s="55"/>
      <c r="I41" s="56" cm="1">
        <f t="array" ref="I41">H41/H$45</f>
      </c>
    </row>
    <row r="42" ht="16" customHeight="1">
      <c r="A42" s="33"/>
      <c r="B42" s="37"/>
      <c r="C42" t="s" s="57">
        <v>55</v>
      </c>
      <c r="D42" s="58"/>
      <c r="E42" s="59" cm="1">
        <f t="array" ref="E42">D42/D$45</f>
      </c>
      <c r="F42" s="58"/>
      <c r="G42" s="59" cm="1">
        <f t="array" ref="G42">F42/F$45</f>
      </c>
      <c r="H42" s="58"/>
      <c r="I42" s="59" cm="1">
        <f t="array" ref="I42">H42/H$45</f>
      </c>
    </row>
    <row r="43" ht="16" customHeight="1">
      <c r="A43" s="33"/>
      <c r="B43" s="37"/>
      <c r="C43" t="s" s="60">
        <v>56</v>
      </c>
      <c r="D43" s="61"/>
      <c r="E43" s="62" cm="1">
        <f t="array" ref="E43">D43/D$45</f>
      </c>
      <c r="F43" s="61"/>
      <c r="G43" s="62" cm="1">
        <f t="array" ref="G43">F43/F$45</f>
      </c>
      <c r="H43" s="61"/>
      <c r="I43" s="62" cm="1">
        <f t="array" ref="I43">H43/H$45</f>
      </c>
    </row>
    <row r="44" ht="16" customHeight="1">
      <c r="A44" s="33"/>
      <c r="B44" s="37"/>
      <c r="C44" t="s" s="54">
        <v>57</v>
      </c>
      <c r="D44" s="55"/>
      <c r="E44" s="56" cm="1">
        <f t="array" ref="E44">D44/D$45</f>
      </c>
      <c r="F44" s="55"/>
      <c r="G44" s="56" cm="1">
        <f t="array" ref="G44">F44/F$45</f>
      </c>
      <c r="H44" s="55"/>
      <c r="I44" s="56" cm="1">
        <f t="array" ref="I44">H44/H$45</f>
      </c>
    </row>
    <row r="45" ht="15" customHeight="1">
      <c r="A45" s="33"/>
      <c r="B45" s="37"/>
      <c r="C45" t="s" s="78">
        <v>58</v>
      </c>
      <c r="D45" s="79"/>
      <c r="E45" s="80" cm="1">
        <f t="array" ref="E45">D45/D$45</f>
      </c>
      <c r="F45" s="79"/>
      <c r="G45" s="80" cm="1">
        <f t="array" ref="G45">F45/F$45</f>
      </c>
      <c r="H45" s="79"/>
      <c r="I45" s="80" cm="1">
        <f t="array" ref="I45">H45/H$45</f>
      </c>
    </row>
    <row r="46" ht="15" customHeight="1">
      <c r="A46" s="33"/>
      <c r="B46" s="34"/>
      <c r="C46" s="67"/>
      <c r="D46" s="81"/>
      <c r="E46" s="82"/>
      <c r="F46" s="81"/>
      <c r="G46" s="82"/>
      <c r="H46" s="81"/>
      <c r="I46" s="83"/>
    </row>
    <row r="47" ht="20.4" customHeight="1">
      <c r="A47" s="33"/>
      <c r="B47" s="37"/>
      <c r="C47" t="s" s="10">
        <v>59</v>
      </c>
      <c r="D47" s="84"/>
      <c r="E47" s="85"/>
      <c r="F47" s="84"/>
      <c r="G47" s="85"/>
      <c r="H47" s="84"/>
      <c r="I47" s="86"/>
    </row>
    <row r="48" ht="16.5" customHeight="1">
      <c r="A48" s="33"/>
      <c r="B48" s="37"/>
      <c r="C48" s="87"/>
      <c r="D48" t="s" s="88">
        <v>17</v>
      </c>
      <c r="E48" s="89"/>
      <c r="F48" t="s" s="88">
        <v>19</v>
      </c>
      <c r="G48" s="89"/>
      <c r="H48" t="s" s="88">
        <v>21</v>
      </c>
      <c r="I48" s="90"/>
    </row>
    <row r="49" ht="16" customHeight="1">
      <c r="A49" s="33"/>
      <c r="B49" s="37"/>
      <c r="C49" s="91"/>
      <c r="D49" s="92"/>
      <c r="E49" s="93"/>
      <c r="F49" s="92"/>
      <c r="G49" s="93"/>
      <c r="H49" s="92"/>
      <c r="I49" s="94"/>
    </row>
    <row r="50" ht="16" customHeight="1">
      <c r="A50" s="33"/>
      <c r="B50" s="37"/>
      <c r="C50" t="s" s="95">
        <v>60</v>
      </c>
      <c r="D50" s="96"/>
      <c r="E50" s="97"/>
      <c r="F50" s="96"/>
      <c r="G50" s="97"/>
      <c r="H50" s="96"/>
      <c r="I50" s="98"/>
    </row>
    <row r="51" ht="16" customHeight="1">
      <c r="A51" s="33"/>
      <c r="B51" s="37"/>
      <c r="C51" t="s" s="99">
        <v>61</v>
      </c>
      <c r="D51" s="96"/>
      <c r="E51" s="97"/>
      <c r="F51" s="96"/>
      <c r="G51" s="97"/>
      <c r="H51" s="96"/>
      <c r="I51" s="98"/>
    </row>
    <row r="52" ht="16" customHeight="1">
      <c r="A52" s="33"/>
      <c r="B52" s="37"/>
      <c r="C52" t="s" s="99">
        <v>62</v>
      </c>
      <c r="D52" s="96"/>
      <c r="E52" s="97"/>
      <c r="F52" s="96"/>
      <c r="G52" s="97"/>
      <c r="H52" s="96"/>
      <c r="I52" s="98"/>
    </row>
    <row r="53" ht="16" customHeight="1">
      <c r="A53" s="33"/>
      <c r="B53" s="37"/>
      <c r="C53" t="s" s="100">
        <v>63</v>
      </c>
      <c r="D53" s="101"/>
      <c r="E53" s="102"/>
      <c r="F53" s="101"/>
      <c r="G53" s="102"/>
      <c r="H53" s="101"/>
      <c r="I53" s="103"/>
    </row>
    <row r="54" ht="16" customHeight="1">
      <c r="A54" s="33"/>
      <c r="B54" s="37"/>
      <c r="C54" t="s" s="104">
        <v>64</v>
      </c>
      <c r="D54" s="92"/>
      <c r="E54" s="93"/>
      <c r="F54" s="92"/>
      <c r="G54" s="93"/>
      <c r="H54" s="92"/>
      <c r="I54" s="94"/>
    </row>
    <row r="55" ht="16" customHeight="1">
      <c r="A55" s="33"/>
      <c r="B55" s="37"/>
      <c r="C55" t="s" s="99">
        <v>65</v>
      </c>
      <c r="D55" s="96"/>
      <c r="E55" s="97"/>
      <c r="F55" s="96"/>
      <c r="G55" s="97"/>
      <c r="H55" s="96"/>
      <c r="I55" s="98"/>
    </row>
    <row r="56" ht="16" customHeight="1">
      <c r="A56" s="33"/>
      <c r="B56" s="37"/>
      <c r="C56" t="s" s="99">
        <v>66</v>
      </c>
      <c r="D56" s="96"/>
      <c r="E56" s="97"/>
      <c r="F56" s="96"/>
      <c r="G56" s="97"/>
      <c r="H56" s="96"/>
      <c r="I56" s="98"/>
    </row>
    <row r="57" ht="15" customHeight="1">
      <c r="A57" s="33"/>
      <c r="B57" s="37"/>
      <c r="C57" t="s" s="100">
        <v>67</v>
      </c>
      <c r="D57" s="101"/>
      <c r="E57" s="102"/>
      <c r="F57" s="101"/>
      <c r="G57" s="102"/>
      <c r="H57" s="101"/>
      <c r="I57" s="103"/>
    </row>
    <row r="58" ht="15" customHeight="1">
      <c r="A58" s="33"/>
      <c r="B58" s="37"/>
      <c r="C58" s="91"/>
      <c r="D58" s="92"/>
      <c r="E58" s="93"/>
      <c r="F58" s="92"/>
      <c r="G58" s="93"/>
      <c r="H58" s="92"/>
      <c r="I58" s="94"/>
    </row>
    <row r="59" ht="16" customHeight="1">
      <c r="A59" s="33"/>
      <c r="B59" s="37"/>
      <c r="C59" t="s" s="95">
        <v>68</v>
      </c>
      <c r="D59" s="96"/>
      <c r="E59" s="97"/>
      <c r="F59" s="96"/>
      <c r="G59" s="97"/>
      <c r="H59" s="96"/>
      <c r="I59" s="98"/>
    </row>
    <row r="60" ht="16" customHeight="1">
      <c r="A60" s="33"/>
      <c r="B60" s="37"/>
      <c r="C60" t="s" s="99">
        <v>69</v>
      </c>
      <c r="D60" s="96"/>
      <c r="E60" s="97"/>
      <c r="F60" s="96"/>
      <c r="G60" s="97"/>
      <c r="H60" s="96"/>
      <c r="I60" s="98"/>
    </row>
    <row r="61" ht="15" customHeight="1">
      <c r="A61" s="33"/>
      <c r="B61" s="37"/>
      <c r="C61" t="s" s="100">
        <v>70</v>
      </c>
      <c r="D61" s="101"/>
      <c r="E61" s="102"/>
      <c r="F61" s="101"/>
      <c r="G61" s="102"/>
      <c r="H61" s="101"/>
      <c r="I61" s="103"/>
    </row>
    <row r="62" ht="15" customHeight="1">
      <c r="A62" s="33"/>
      <c r="B62" s="37"/>
      <c r="C62" s="91"/>
      <c r="D62" s="92"/>
      <c r="E62" s="93"/>
      <c r="F62" s="92"/>
      <c r="G62" s="93"/>
      <c r="H62" s="92"/>
      <c r="I62" s="94"/>
    </row>
    <row r="63" ht="29" customHeight="1">
      <c r="A63" s="33"/>
      <c r="B63" s="37"/>
      <c r="C63" t="s" s="95">
        <v>71</v>
      </c>
      <c r="D63" s="96"/>
      <c r="E63" s="97"/>
      <c r="F63" s="96"/>
      <c r="G63" s="97"/>
      <c r="H63" s="96"/>
      <c r="I63" s="98"/>
    </row>
    <row r="64" ht="16" customHeight="1">
      <c r="A64" s="33"/>
      <c r="B64" s="37"/>
      <c r="C64" t="s" s="99">
        <v>72</v>
      </c>
      <c r="D64" s="96"/>
      <c r="E64" s="97"/>
      <c r="F64" s="96"/>
      <c r="G64" s="97"/>
      <c r="H64" s="96"/>
      <c r="I64" s="98"/>
    </row>
    <row r="65" ht="16" customHeight="1">
      <c r="A65" s="33"/>
      <c r="B65" s="37"/>
      <c r="C65" t="s" s="99">
        <v>73</v>
      </c>
      <c r="D65" s="96"/>
      <c r="E65" s="97"/>
      <c r="F65" s="96"/>
      <c r="G65" s="97"/>
      <c r="H65" s="96"/>
      <c r="I65" s="98"/>
    </row>
    <row r="66" ht="15" customHeight="1">
      <c r="A66" s="33"/>
      <c r="B66" s="37"/>
      <c r="C66" t="s" s="100">
        <v>74</v>
      </c>
      <c r="D66" s="101"/>
      <c r="E66" s="102"/>
      <c r="F66" s="101"/>
      <c r="G66" s="102"/>
      <c r="H66" s="101"/>
      <c r="I66" s="103"/>
    </row>
    <row r="67" ht="15" customHeight="1">
      <c r="A67" s="33"/>
      <c r="B67" s="37"/>
      <c r="C67" s="91"/>
      <c r="D67" s="92"/>
      <c r="E67" s="93"/>
      <c r="F67" s="92"/>
      <c r="G67" s="93"/>
      <c r="H67" s="92"/>
      <c r="I67" s="94"/>
    </row>
    <row r="68" ht="16" customHeight="1">
      <c r="A68" s="33"/>
      <c r="B68" s="37"/>
      <c r="C68" t="s" s="95">
        <v>75</v>
      </c>
      <c r="D68" s="96"/>
      <c r="E68" s="97"/>
      <c r="F68" s="96"/>
      <c r="G68" s="97"/>
      <c r="H68" s="96"/>
      <c r="I68" s="98"/>
    </row>
    <row r="69" ht="16" customHeight="1">
      <c r="A69" s="33"/>
      <c r="B69" s="37"/>
      <c r="C69" t="s" s="99">
        <v>76</v>
      </c>
      <c r="D69" s="96"/>
      <c r="E69" s="97"/>
      <c r="F69" s="96"/>
      <c r="G69" s="97"/>
      <c r="H69" s="96"/>
      <c r="I69" s="98"/>
    </row>
    <row r="70" ht="15" customHeight="1">
      <c r="A70" s="105"/>
      <c r="B70" s="106"/>
      <c r="C70" t="s" s="107">
        <v>77</v>
      </c>
      <c r="D70" s="108"/>
      <c r="E70" s="109"/>
      <c r="F70" s="108"/>
      <c r="G70" s="109"/>
      <c r="H70" s="108"/>
      <c r="I70" s="110"/>
    </row>
  </sheetData>
  <mergeCells count="1">
    <mergeCell ref="C19:C20"/>
  </mergeCells>
  <pageMargins left="0.7" right="0.7" top="0.75" bottom="0.75" header="0.3" footer="0.3"/>
  <pageSetup firstPageNumber="1" fitToHeight="1" fitToWidth="1" scale="61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A59"/>
  <sheetViews>
    <sheetView workbookViewId="0" showGridLines="0" defaultGridColor="1"/>
  </sheetViews>
  <sheetFormatPr defaultColWidth="12.5" defaultRowHeight="14.4" customHeight="1" outlineLevelRow="0" outlineLevelCol="0"/>
  <cols>
    <col min="1" max="1" width="5.17188" style="111" customWidth="1"/>
    <col min="2" max="2" width="3.85156" style="111" customWidth="1"/>
    <col min="3" max="3" width="7.5" style="111" customWidth="1"/>
    <col min="4" max="4" width="17.8516" style="111" customWidth="1"/>
    <col min="5" max="7" width="17.5" style="111" customWidth="1"/>
    <col min="8" max="8" width="1.35156" style="111" customWidth="1"/>
    <col min="9" max="10" width="16.8516" style="111" customWidth="1"/>
    <col min="11" max="11" width="17.5" style="111" customWidth="1"/>
    <col min="12" max="12" width="1.35156" style="111" customWidth="1"/>
    <col min="13" max="13" width="17.5" style="111" customWidth="1"/>
    <col min="14" max="14" width="17.8516" style="111" customWidth="1"/>
    <col min="15" max="15" width="17.5" style="111" customWidth="1"/>
    <col min="16" max="16" width="1.35156" style="111" customWidth="1"/>
    <col min="17" max="19" width="21.1719" style="111" customWidth="1"/>
    <col min="20" max="20" width="3.85156" style="111" customWidth="1"/>
    <col min="21" max="27" width="11.8516" style="111" customWidth="1"/>
    <col min="28" max="16384" width="12.5" style="111" customWidth="1"/>
  </cols>
  <sheetData>
    <row r="1" ht="1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112"/>
    </row>
    <row r="3" ht="15.75" customHeight="1">
      <c r="A3" s="5"/>
      <c r="B3" s="9"/>
      <c r="C3" t="s" s="113">
        <v>78</v>
      </c>
      <c r="D3" s="114"/>
      <c r="E3" s="114"/>
      <c r="F3" s="114"/>
      <c r="G3" s="114"/>
      <c r="H3" s="115"/>
      <c r="I3" s="114"/>
      <c r="J3" s="114"/>
      <c r="K3" s="114"/>
      <c r="L3" s="115"/>
      <c r="M3" s="114"/>
      <c r="N3" s="114"/>
      <c r="O3" s="114"/>
      <c r="P3" s="114"/>
      <c r="Q3" s="114"/>
      <c r="R3" s="114"/>
      <c r="S3" s="116"/>
      <c r="T3" s="117"/>
      <c r="U3" s="6"/>
      <c r="V3" s="6"/>
      <c r="W3" s="6"/>
      <c r="X3" s="6"/>
      <c r="Y3" s="6"/>
      <c r="Z3" s="6"/>
      <c r="AA3" s="112"/>
    </row>
    <row r="4" ht="15.75" customHeight="1">
      <c r="A4" s="5"/>
      <c r="B4" s="9"/>
      <c r="C4" s="118"/>
      <c r="D4" s="119"/>
      <c r="E4" t="s" s="120">
        <v>79</v>
      </c>
      <c r="F4" s="121"/>
      <c r="G4" s="122"/>
      <c r="H4" s="123"/>
      <c r="I4" t="s" s="120">
        <v>80</v>
      </c>
      <c r="J4" s="121"/>
      <c r="K4" s="122"/>
      <c r="L4" s="123"/>
      <c r="M4" t="s" s="120">
        <v>81</v>
      </c>
      <c r="N4" s="121"/>
      <c r="O4" s="122"/>
      <c r="P4" s="124"/>
      <c r="Q4" t="s" s="120">
        <v>82</v>
      </c>
      <c r="R4" s="121"/>
      <c r="S4" s="122"/>
      <c r="T4" s="117"/>
      <c r="U4" s="6"/>
      <c r="V4" s="6"/>
      <c r="W4" s="6"/>
      <c r="X4" s="6"/>
      <c r="Y4" s="6"/>
      <c r="Z4" s="6"/>
      <c r="AA4" s="112"/>
    </row>
    <row r="5" ht="15.75" customHeight="1">
      <c r="A5" s="5"/>
      <c r="B5" s="125"/>
      <c r="C5" s="126"/>
      <c r="D5" s="127"/>
      <c r="E5" s="128"/>
      <c r="F5" s="129"/>
      <c r="G5" s="130"/>
      <c r="H5" s="131"/>
      <c r="I5" s="128"/>
      <c r="J5" s="129"/>
      <c r="K5" s="130"/>
      <c r="L5" s="131"/>
      <c r="M5" s="128"/>
      <c r="N5" s="129"/>
      <c r="O5" s="130"/>
      <c r="P5" s="131"/>
      <c r="Q5" s="128"/>
      <c r="R5" s="129"/>
      <c r="S5" s="130"/>
      <c r="T5" s="132"/>
      <c r="U5" s="133"/>
      <c r="V5" s="133"/>
      <c r="W5" s="133"/>
      <c r="X5" s="133"/>
      <c r="Y5" s="133"/>
      <c r="Z5" s="133"/>
      <c r="AA5" s="134"/>
    </row>
    <row r="6" ht="15.75" customHeight="1">
      <c r="A6" s="5"/>
      <c r="B6" s="9"/>
      <c r="C6" t="s" s="135">
        <v>83</v>
      </c>
      <c r="D6" t="s" s="136">
        <v>84</v>
      </c>
      <c r="E6" t="s" s="137">
        <v>85</v>
      </c>
      <c r="F6" t="s" s="137">
        <v>86</v>
      </c>
      <c r="G6" t="s" s="137">
        <v>87</v>
      </c>
      <c r="H6" s="123"/>
      <c r="I6" t="s" s="137">
        <v>85</v>
      </c>
      <c r="J6" t="s" s="137">
        <v>86</v>
      </c>
      <c r="K6" t="s" s="137">
        <v>87</v>
      </c>
      <c r="L6" s="123"/>
      <c r="M6" t="s" s="137">
        <v>85</v>
      </c>
      <c r="N6" t="s" s="137">
        <v>86</v>
      </c>
      <c r="O6" t="s" s="137">
        <v>87</v>
      </c>
      <c r="P6" s="123"/>
      <c r="Q6" t="s" s="137">
        <v>85</v>
      </c>
      <c r="R6" t="s" s="137">
        <v>86</v>
      </c>
      <c r="S6" t="s" s="137">
        <v>87</v>
      </c>
      <c r="T6" s="117"/>
      <c r="U6" s="6"/>
      <c r="V6" s="6"/>
      <c r="W6" s="6"/>
      <c r="X6" s="6"/>
      <c r="Y6" s="6"/>
      <c r="Z6" s="6"/>
      <c r="AA6" s="112"/>
    </row>
    <row r="7" ht="15.75" customHeight="1">
      <c r="A7" s="5"/>
      <c r="B7" s="9"/>
      <c r="C7" s="138">
        <v>2023</v>
      </c>
      <c r="D7" t="s" s="139">
        <v>88</v>
      </c>
      <c r="E7" s="140"/>
      <c r="F7" s="140"/>
      <c r="G7" s="141" cm="1">
        <f t="array" ref="G7">E7-F7</f>
        <v>0</v>
      </c>
      <c r="H7" s="142"/>
      <c r="I7" s="140"/>
      <c r="J7" s="140"/>
      <c r="K7" s="140"/>
      <c r="L7" s="142"/>
      <c r="M7" s="140"/>
      <c r="N7" s="140"/>
      <c r="O7" s="140"/>
      <c r="P7" s="143"/>
      <c r="Q7" s="144"/>
      <c r="R7" s="144"/>
      <c r="S7" s="144"/>
      <c r="T7" s="145"/>
      <c r="U7" s="6"/>
      <c r="V7" s="6"/>
      <c r="W7" s="6"/>
      <c r="X7" s="6"/>
      <c r="Y7" s="6"/>
      <c r="Z7" s="6"/>
      <c r="AA7" s="112"/>
    </row>
    <row r="8" ht="15.75" customHeight="1">
      <c r="A8" s="5"/>
      <c r="B8" s="9"/>
      <c r="C8" s="146">
        <v>2023</v>
      </c>
      <c r="D8" t="s" s="139">
        <v>89</v>
      </c>
      <c r="E8" s="147"/>
      <c r="F8" s="147"/>
      <c r="G8" s="148" cm="1">
        <f t="array" ref="G8">E8-F8</f>
        <v>0</v>
      </c>
      <c r="H8" s="142"/>
      <c r="I8" s="147"/>
      <c r="J8" s="147"/>
      <c r="K8" s="147"/>
      <c r="L8" s="142"/>
      <c r="M8" s="147"/>
      <c r="N8" s="147"/>
      <c r="O8" s="147"/>
      <c r="P8" s="143"/>
      <c r="Q8" s="149"/>
      <c r="R8" s="149"/>
      <c r="S8" s="149"/>
      <c r="T8" s="145"/>
      <c r="U8" s="6"/>
      <c r="V8" s="6"/>
      <c r="W8" s="6"/>
      <c r="X8" s="6"/>
      <c r="Y8" s="6"/>
      <c r="Z8" s="6"/>
      <c r="AA8" s="112"/>
    </row>
    <row r="9" ht="15.75" customHeight="1">
      <c r="A9" s="5"/>
      <c r="B9" s="9"/>
      <c r="C9" s="146">
        <v>2023</v>
      </c>
      <c r="D9" t="s" s="139">
        <v>90</v>
      </c>
      <c r="E9" s="147"/>
      <c r="F9" s="147"/>
      <c r="G9" s="148" cm="1">
        <f t="array" ref="G9">E9-F9</f>
        <v>0</v>
      </c>
      <c r="H9" s="142"/>
      <c r="I9" s="147"/>
      <c r="J9" s="147"/>
      <c r="K9" s="147"/>
      <c r="L9" s="142"/>
      <c r="M9" s="147"/>
      <c r="N9" s="147"/>
      <c r="O9" s="147"/>
      <c r="P9" s="143"/>
      <c r="Q9" s="149"/>
      <c r="R9" s="149"/>
      <c r="S9" s="149"/>
      <c r="T9" s="145"/>
      <c r="U9" s="6"/>
      <c r="V9" s="6"/>
      <c r="W9" s="6"/>
      <c r="X9" s="6"/>
      <c r="Y9" s="6"/>
      <c r="Z9" s="6"/>
      <c r="AA9" s="112"/>
    </row>
    <row r="10" ht="15.75" customHeight="1">
      <c r="A10" s="5"/>
      <c r="B10" s="9"/>
      <c r="C10" s="146">
        <v>2023</v>
      </c>
      <c r="D10" t="s" s="139">
        <v>91</v>
      </c>
      <c r="E10" s="147"/>
      <c r="F10" s="147"/>
      <c r="G10" s="148" cm="1">
        <f t="array" ref="G10">E10-F10</f>
        <v>0</v>
      </c>
      <c r="H10" s="142"/>
      <c r="I10" s="147"/>
      <c r="J10" s="147"/>
      <c r="K10" s="147"/>
      <c r="L10" s="142"/>
      <c r="M10" s="147"/>
      <c r="N10" s="147"/>
      <c r="O10" s="147"/>
      <c r="P10" s="143"/>
      <c r="Q10" s="149"/>
      <c r="R10" s="149"/>
      <c r="S10" s="149"/>
      <c r="T10" s="145"/>
      <c r="U10" s="6"/>
      <c r="V10" s="6"/>
      <c r="W10" s="6"/>
      <c r="X10" s="6"/>
      <c r="Y10" s="6"/>
      <c r="Z10" s="6"/>
      <c r="AA10" s="112"/>
    </row>
    <row r="11" ht="15.75" customHeight="1">
      <c r="A11" s="5"/>
      <c r="B11" s="9"/>
      <c r="C11" s="146">
        <v>2023</v>
      </c>
      <c r="D11" t="s" s="139">
        <v>92</v>
      </c>
      <c r="E11" s="147"/>
      <c r="F11" s="147"/>
      <c r="G11" s="148" cm="1">
        <f t="array" ref="G11">E11-F11</f>
        <v>0</v>
      </c>
      <c r="H11" s="142"/>
      <c r="I11" s="147"/>
      <c r="J11" s="147"/>
      <c r="K11" s="147"/>
      <c r="L11" s="142"/>
      <c r="M11" s="147"/>
      <c r="N11" s="147"/>
      <c r="O11" s="147"/>
      <c r="P11" s="143"/>
      <c r="Q11" s="149"/>
      <c r="R11" s="149"/>
      <c r="S11" s="149"/>
      <c r="T11" s="145"/>
      <c r="U11" s="6"/>
      <c r="V11" s="6"/>
      <c r="W11" s="6"/>
      <c r="X11" s="6"/>
      <c r="Y11" s="6"/>
      <c r="Z11" s="6"/>
      <c r="AA11" s="112"/>
    </row>
    <row r="12" ht="15.75" customHeight="1">
      <c r="A12" s="5"/>
      <c r="B12" s="9"/>
      <c r="C12" s="146">
        <v>2023</v>
      </c>
      <c r="D12" t="s" s="139">
        <v>93</v>
      </c>
      <c r="E12" s="147"/>
      <c r="F12" s="147"/>
      <c r="G12" s="148" cm="1">
        <f t="array" ref="G12">E12-F12</f>
        <v>0</v>
      </c>
      <c r="H12" s="142"/>
      <c r="I12" s="147"/>
      <c r="J12" s="147"/>
      <c r="K12" s="147"/>
      <c r="L12" s="142"/>
      <c r="M12" s="147"/>
      <c r="N12" s="147"/>
      <c r="O12" s="147"/>
      <c r="P12" s="143"/>
      <c r="Q12" s="149"/>
      <c r="R12" s="149"/>
      <c r="S12" s="149"/>
      <c r="T12" s="145"/>
      <c r="U12" s="6"/>
      <c r="V12" s="6"/>
      <c r="W12" s="6"/>
      <c r="X12" s="6"/>
      <c r="Y12" s="6"/>
      <c r="Z12" s="6"/>
      <c r="AA12" s="112"/>
    </row>
    <row r="13" ht="15.75" customHeight="1">
      <c r="A13" s="5"/>
      <c r="B13" s="9"/>
      <c r="C13" s="146">
        <v>2023</v>
      </c>
      <c r="D13" t="s" s="139">
        <v>94</v>
      </c>
      <c r="E13" s="147"/>
      <c r="F13" s="147"/>
      <c r="G13" s="148" cm="1">
        <f t="array" ref="G13">E13-F13</f>
        <v>0</v>
      </c>
      <c r="H13" s="142"/>
      <c r="I13" s="147"/>
      <c r="J13" s="147"/>
      <c r="K13" s="147"/>
      <c r="L13" s="142"/>
      <c r="M13" s="147"/>
      <c r="N13" s="147"/>
      <c r="O13" s="147"/>
      <c r="P13" s="143"/>
      <c r="Q13" s="149"/>
      <c r="R13" s="149"/>
      <c r="S13" s="149"/>
      <c r="T13" s="145"/>
      <c r="U13" s="6"/>
      <c r="V13" s="6"/>
      <c r="W13" s="6"/>
      <c r="X13" s="6"/>
      <c r="Y13" s="6"/>
      <c r="Z13" s="6"/>
      <c r="AA13" s="112"/>
    </row>
    <row r="14" ht="15.75" customHeight="1">
      <c r="A14" s="5"/>
      <c r="B14" s="9"/>
      <c r="C14" s="146">
        <v>2023</v>
      </c>
      <c r="D14" t="s" s="139">
        <v>95</v>
      </c>
      <c r="E14" s="147"/>
      <c r="F14" s="147"/>
      <c r="G14" s="148" cm="1">
        <f t="array" ref="G14">E14-F14</f>
        <v>0</v>
      </c>
      <c r="H14" s="142"/>
      <c r="I14" s="147"/>
      <c r="J14" s="147"/>
      <c r="K14" s="147"/>
      <c r="L14" s="142"/>
      <c r="M14" s="147"/>
      <c r="N14" s="147"/>
      <c r="O14" s="147"/>
      <c r="P14" s="143"/>
      <c r="Q14" s="149"/>
      <c r="R14" s="149"/>
      <c r="S14" s="149"/>
      <c r="T14" s="145"/>
      <c r="U14" s="6"/>
      <c r="V14" s="6"/>
      <c r="W14" s="6"/>
      <c r="X14" s="6"/>
      <c r="Y14" s="6"/>
      <c r="Z14" s="6"/>
      <c r="AA14" s="112"/>
    </row>
    <row r="15" ht="15.75" customHeight="1">
      <c r="A15" s="5"/>
      <c r="B15" s="9"/>
      <c r="C15" s="146">
        <v>2023</v>
      </c>
      <c r="D15" t="s" s="139">
        <v>96</v>
      </c>
      <c r="E15" s="147"/>
      <c r="F15" s="147"/>
      <c r="G15" s="148" cm="1">
        <f t="array" ref="G15">E15-F15</f>
        <v>0</v>
      </c>
      <c r="H15" s="142"/>
      <c r="I15" s="147"/>
      <c r="J15" s="147"/>
      <c r="K15" s="147"/>
      <c r="L15" s="142"/>
      <c r="M15" s="147"/>
      <c r="N15" s="147"/>
      <c r="O15" s="147"/>
      <c r="P15" s="143"/>
      <c r="Q15" s="149"/>
      <c r="R15" s="149"/>
      <c r="S15" s="149"/>
      <c r="T15" s="145"/>
      <c r="U15" s="6"/>
      <c r="V15" s="6"/>
      <c r="W15" s="6"/>
      <c r="X15" s="6"/>
      <c r="Y15" s="6"/>
      <c r="Z15" s="6"/>
      <c r="AA15" s="112"/>
    </row>
    <row r="16" ht="15.75" customHeight="1">
      <c r="A16" s="5"/>
      <c r="B16" s="9"/>
      <c r="C16" s="146">
        <v>2023</v>
      </c>
      <c r="D16" t="s" s="139">
        <v>97</v>
      </c>
      <c r="E16" s="147"/>
      <c r="F16" s="147"/>
      <c r="G16" s="148" cm="1">
        <f t="array" ref="G16">E16-F16</f>
        <v>0</v>
      </c>
      <c r="H16" s="142"/>
      <c r="I16" s="147"/>
      <c r="J16" s="147"/>
      <c r="K16" s="147"/>
      <c r="L16" s="142"/>
      <c r="M16" s="147"/>
      <c r="N16" s="147"/>
      <c r="O16" s="147"/>
      <c r="P16" s="143"/>
      <c r="Q16" s="149"/>
      <c r="R16" s="149"/>
      <c r="S16" s="149"/>
      <c r="T16" s="145"/>
      <c r="U16" s="6"/>
      <c r="V16" s="6"/>
      <c r="W16" s="6"/>
      <c r="X16" s="6"/>
      <c r="Y16" s="6"/>
      <c r="Z16" s="6"/>
      <c r="AA16" s="112"/>
    </row>
    <row r="17" ht="15.75" customHeight="1">
      <c r="A17" s="5"/>
      <c r="B17" s="9"/>
      <c r="C17" s="146">
        <v>2023</v>
      </c>
      <c r="D17" t="s" s="139">
        <v>98</v>
      </c>
      <c r="E17" s="147"/>
      <c r="F17" s="147"/>
      <c r="G17" s="148" cm="1">
        <f t="array" ref="G17">E17-F17</f>
        <v>0</v>
      </c>
      <c r="H17" s="142"/>
      <c r="I17" s="147"/>
      <c r="J17" s="147"/>
      <c r="K17" s="147"/>
      <c r="L17" s="142"/>
      <c r="M17" s="147"/>
      <c r="N17" s="147"/>
      <c r="O17" s="147"/>
      <c r="P17" s="143"/>
      <c r="Q17" s="149"/>
      <c r="R17" s="149"/>
      <c r="S17" s="149"/>
      <c r="T17" s="145"/>
      <c r="U17" s="6"/>
      <c r="V17" s="6"/>
      <c r="W17" s="6"/>
      <c r="X17" s="6"/>
      <c r="Y17" s="6"/>
      <c r="Z17" s="6"/>
      <c r="AA17" s="112"/>
    </row>
    <row r="18" ht="15.75" customHeight="1">
      <c r="A18" s="5"/>
      <c r="B18" s="9"/>
      <c r="C18" s="150">
        <v>2023</v>
      </c>
      <c r="D18" t="s" s="151">
        <v>99</v>
      </c>
      <c r="E18" s="152"/>
      <c r="F18" s="152"/>
      <c r="G18" s="153" cm="1">
        <f t="array" ref="G18">E18-F18</f>
        <v>0</v>
      </c>
      <c r="H18" s="142"/>
      <c r="I18" s="152"/>
      <c r="J18" s="152"/>
      <c r="K18" s="152"/>
      <c r="L18" s="142"/>
      <c r="M18" s="152"/>
      <c r="N18" s="152"/>
      <c r="O18" s="152"/>
      <c r="P18" s="143"/>
      <c r="Q18" s="154"/>
      <c r="R18" s="154"/>
      <c r="S18" s="154"/>
      <c r="T18" s="145"/>
      <c r="U18" s="6"/>
      <c r="V18" s="6"/>
      <c r="W18" s="6"/>
      <c r="X18" s="6"/>
      <c r="Y18" s="6"/>
      <c r="Z18" s="6"/>
      <c r="AA18" s="112"/>
    </row>
    <row r="19" ht="15.75" customHeight="1">
      <c r="A19" s="5"/>
      <c r="B19" s="125"/>
      <c r="C19" t="s" s="155">
        <v>100</v>
      </c>
      <c r="D19" s="156"/>
      <c r="E19" s="157" cm="1">
        <f t="array" ref="E19">SUM(E7:E18)</f>
        <v>0</v>
      </c>
      <c r="F19" s="157" cm="1">
        <f t="array" ref="F19">SUM(F7:F18)</f>
        <v>0</v>
      </c>
      <c r="G19" s="157" cm="1">
        <f t="array" ref="G19">AVERAGE(G7:G18)</f>
        <v>0</v>
      </c>
      <c r="H19" s="158"/>
      <c r="I19" s="157" cm="1">
        <f t="array" ref="I19">SUM(I7:I18)</f>
        <v>0</v>
      </c>
      <c r="J19" s="157" cm="1">
        <f t="array" ref="J19">SUM(J7:J18)</f>
        <v>0</v>
      </c>
      <c r="K19" s="157" cm="1">
        <f t="array" ref="K19">AVERAGE(K7:K18)</f>
      </c>
      <c r="L19" s="158"/>
      <c r="M19" s="157" cm="1">
        <f t="array" ref="M19">SUM(M7:M18)</f>
        <v>0</v>
      </c>
      <c r="N19" s="157" cm="1">
        <f t="array" ref="N19">SUM(N7:N18)</f>
        <v>0</v>
      </c>
      <c r="O19" s="157" cm="1">
        <f t="array" ref="O19">AVERAGE(O7:O18)</f>
      </c>
      <c r="P19" s="159"/>
      <c r="Q19" s="160" cm="1">
        <f t="array" ref="Q19">SUM(Q7:Q18)</f>
        <v>0</v>
      </c>
      <c r="R19" s="160" cm="1">
        <f t="array" ref="R19">SUM(R7:R18)</f>
        <v>0</v>
      </c>
      <c r="S19" s="160" cm="1">
        <f t="array" ref="S19">SUM(S7:S18)</f>
        <v>0</v>
      </c>
      <c r="T19" s="132"/>
      <c r="U19" s="133"/>
      <c r="V19" s="133"/>
      <c r="W19" s="133"/>
      <c r="X19" s="133"/>
      <c r="Y19" s="133"/>
      <c r="Z19" s="133"/>
      <c r="AA19" s="134"/>
    </row>
    <row r="20" ht="15.75" customHeight="1">
      <c r="A20" s="5"/>
      <c r="B20" s="6"/>
      <c r="C20" s="20"/>
      <c r="D20" s="20"/>
      <c r="E20" s="20"/>
      <c r="F20" s="20"/>
      <c r="G20" s="20"/>
      <c r="H20" s="7"/>
      <c r="I20" s="20"/>
      <c r="J20" s="20"/>
      <c r="K20" s="20"/>
      <c r="L20" s="7"/>
      <c r="M20" s="20"/>
      <c r="N20" s="20"/>
      <c r="O20" s="20"/>
      <c r="P20" s="7"/>
      <c r="Q20" s="20"/>
      <c r="R20" s="20"/>
      <c r="S20" s="20"/>
      <c r="T20" s="6"/>
      <c r="U20" s="6"/>
      <c r="V20" s="6"/>
      <c r="W20" s="6"/>
      <c r="X20" s="6"/>
      <c r="Y20" s="6"/>
      <c r="Z20" s="6"/>
      <c r="AA20" s="112"/>
    </row>
    <row r="21" ht="15.75" customHeight="1">
      <c r="A21" s="5"/>
      <c r="B21" s="9"/>
      <c r="C21" t="s" s="113">
        <v>101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6"/>
      <c r="T21" s="117"/>
      <c r="U21" s="6"/>
      <c r="V21" s="6"/>
      <c r="W21" s="6"/>
      <c r="X21" s="6"/>
      <c r="Y21" s="6"/>
      <c r="Z21" s="6"/>
      <c r="AA21" s="112"/>
    </row>
    <row r="22" ht="18.75" customHeight="1">
      <c r="A22" s="5"/>
      <c r="B22" s="9"/>
      <c r="C22" s="118"/>
      <c r="D22" s="119"/>
      <c r="E22" t="s" s="120">
        <v>79</v>
      </c>
      <c r="F22" s="121"/>
      <c r="G22" s="122"/>
      <c r="H22" s="161"/>
      <c r="I22" t="s" s="120">
        <v>80</v>
      </c>
      <c r="J22" s="121"/>
      <c r="K22" s="122"/>
      <c r="L22" s="161"/>
      <c r="M22" t="s" s="120">
        <v>81</v>
      </c>
      <c r="N22" s="121"/>
      <c r="O22" s="122"/>
      <c r="P22" s="161"/>
      <c r="Q22" t="s" s="120">
        <v>102</v>
      </c>
      <c r="R22" s="121"/>
      <c r="S22" s="122"/>
      <c r="T22" s="117"/>
      <c r="U22" s="6"/>
      <c r="V22" s="6"/>
      <c r="W22" s="6"/>
      <c r="X22" s="6"/>
      <c r="Y22" s="6"/>
      <c r="Z22" s="6"/>
      <c r="AA22" s="112"/>
    </row>
    <row r="23" ht="15.75" customHeight="1">
      <c r="A23" s="5"/>
      <c r="B23" s="9"/>
      <c r="C23" s="126"/>
      <c r="D23" s="127"/>
      <c r="E23" s="128"/>
      <c r="F23" s="129"/>
      <c r="G23" s="130"/>
      <c r="H23" s="162"/>
      <c r="I23" s="128"/>
      <c r="J23" s="129"/>
      <c r="K23" s="130"/>
      <c r="L23" s="162"/>
      <c r="M23" s="128"/>
      <c r="N23" s="129"/>
      <c r="O23" s="130"/>
      <c r="P23" s="123"/>
      <c r="Q23" s="128"/>
      <c r="R23" s="129"/>
      <c r="S23" s="130"/>
      <c r="T23" s="117"/>
      <c r="U23" s="6"/>
      <c r="V23" s="6"/>
      <c r="W23" s="6"/>
      <c r="X23" s="6"/>
      <c r="Y23" s="6"/>
      <c r="Z23" s="6"/>
      <c r="AA23" s="112"/>
    </row>
    <row r="24" ht="15.75" customHeight="1">
      <c r="A24" s="5"/>
      <c r="B24" s="9"/>
      <c r="C24" t="s" s="135">
        <v>83</v>
      </c>
      <c r="D24" t="s" s="135">
        <v>84</v>
      </c>
      <c r="E24" t="s" s="137">
        <v>85</v>
      </c>
      <c r="F24" t="s" s="137">
        <v>86</v>
      </c>
      <c r="G24" t="s" s="137">
        <v>87</v>
      </c>
      <c r="H24" s="123"/>
      <c r="I24" t="s" s="137">
        <v>85</v>
      </c>
      <c r="J24" t="s" s="137">
        <v>86</v>
      </c>
      <c r="K24" t="s" s="137">
        <v>87</v>
      </c>
      <c r="L24" s="123"/>
      <c r="M24" t="s" s="137">
        <v>85</v>
      </c>
      <c r="N24" t="s" s="137">
        <v>86</v>
      </c>
      <c r="O24" t="s" s="137">
        <v>87</v>
      </c>
      <c r="P24" s="123"/>
      <c r="Q24" t="s" s="137">
        <v>85</v>
      </c>
      <c r="R24" t="s" s="137">
        <v>86</v>
      </c>
      <c r="S24" t="s" s="137">
        <v>87</v>
      </c>
      <c r="T24" s="117"/>
      <c r="U24" s="6"/>
      <c r="V24" s="6"/>
      <c r="W24" s="6"/>
      <c r="X24" s="6"/>
      <c r="Y24" s="6"/>
      <c r="Z24" s="6"/>
      <c r="AA24" s="112"/>
    </row>
    <row r="25" ht="15.75" customHeight="1">
      <c r="A25" s="5"/>
      <c r="B25" s="9"/>
      <c r="C25" s="163">
        <v>2023</v>
      </c>
      <c r="D25" t="s" s="164">
        <v>88</v>
      </c>
      <c r="E25" s="140"/>
      <c r="F25" s="140"/>
      <c r="G25" s="140"/>
      <c r="H25" s="165"/>
      <c r="I25" s="140"/>
      <c r="J25" s="140"/>
      <c r="K25" s="140"/>
      <c r="L25" s="165"/>
      <c r="M25" s="140"/>
      <c r="N25" s="140"/>
      <c r="O25" s="140"/>
      <c r="P25" s="165"/>
      <c r="Q25" s="141" cm="1">
        <f t="array" ref="Q25">E25+I25+M25</f>
        <v>0</v>
      </c>
      <c r="R25" s="141" cm="1">
        <f t="array" ref="R25">F25+J25+N25</f>
        <v>0</v>
      </c>
      <c r="S25" s="141" cm="1">
        <f t="array" ref="S25">G25+K25+O25</f>
        <v>0</v>
      </c>
      <c r="T25" s="145"/>
      <c r="U25" s="6"/>
      <c r="V25" s="6"/>
      <c r="W25" s="6"/>
      <c r="X25" s="6"/>
      <c r="Y25" s="6"/>
      <c r="Z25" s="6"/>
      <c r="AA25" s="112"/>
    </row>
    <row r="26" ht="15.75" customHeight="1">
      <c r="A26" s="5"/>
      <c r="B26" s="9"/>
      <c r="C26" s="166">
        <v>2023</v>
      </c>
      <c r="D26" t="s" s="167">
        <v>89</v>
      </c>
      <c r="E26" s="147"/>
      <c r="F26" s="147"/>
      <c r="G26" s="147"/>
      <c r="H26" s="165"/>
      <c r="I26" s="147"/>
      <c r="J26" s="147"/>
      <c r="K26" s="147"/>
      <c r="L26" s="165"/>
      <c r="M26" s="147"/>
      <c r="N26" s="147"/>
      <c r="O26" s="147"/>
      <c r="P26" s="165"/>
      <c r="Q26" s="148" cm="1">
        <f t="array" ref="Q26">E26+I26+M26</f>
        <v>0</v>
      </c>
      <c r="R26" s="148" cm="1">
        <f t="array" ref="R26">F26+J26+N26</f>
        <v>0</v>
      </c>
      <c r="S26" s="148" cm="1">
        <f t="array" ref="S26">G26+K26+O26</f>
        <v>0</v>
      </c>
      <c r="T26" s="145"/>
      <c r="U26" s="6"/>
      <c r="V26" s="6"/>
      <c r="W26" s="6"/>
      <c r="X26" s="6"/>
      <c r="Y26" s="6"/>
      <c r="Z26" s="6"/>
      <c r="AA26" s="112"/>
    </row>
    <row r="27" ht="15.75" customHeight="1">
      <c r="A27" s="5"/>
      <c r="B27" s="9"/>
      <c r="C27" s="166">
        <v>2023</v>
      </c>
      <c r="D27" t="s" s="167">
        <v>90</v>
      </c>
      <c r="E27" s="147"/>
      <c r="F27" s="147"/>
      <c r="G27" s="147"/>
      <c r="H27" s="165"/>
      <c r="I27" s="147"/>
      <c r="J27" s="147"/>
      <c r="K27" s="147"/>
      <c r="L27" s="165"/>
      <c r="M27" s="147"/>
      <c r="N27" s="147"/>
      <c r="O27" s="147"/>
      <c r="P27" s="165"/>
      <c r="Q27" s="148" cm="1">
        <f t="array" ref="Q27">E27+I27+M27</f>
        <v>0</v>
      </c>
      <c r="R27" s="148" cm="1">
        <f t="array" ref="R27">F27+J27+N27</f>
        <v>0</v>
      </c>
      <c r="S27" s="148" cm="1">
        <f t="array" ref="S27">G27+K27+O27</f>
        <v>0</v>
      </c>
      <c r="T27" s="145"/>
      <c r="U27" s="6"/>
      <c r="V27" s="6"/>
      <c r="W27" s="6"/>
      <c r="X27" s="6"/>
      <c r="Y27" s="6"/>
      <c r="Z27" s="6"/>
      <c r="AA27" s="112"/>
    </row>
    <row r="28" ht="15.75" customHeight="1">
      <c r="A28" s="5"/>
      <c r="B28" s="9"/>
      <c r="C28" s="166">
        <v>2023</v>
      </c>
      <c r="D28" t="s" s="167">
        <v>91</v>
      </c>
      <c r="E28" s="147"/>
      <c r="F28" s="147"/>
      <c r="G28" s="147"/>
      <c r="H28" s="165"/>
      <c r="I28" s="147"/>
      <c r="J28" s="147"/>
      <c r="K28" s="147"/>
      <c r="L28" s="165"/>
      <c r="M28" s="147"/>
      <c r="N28" s="147"/>
      <c r="O28" s="147"/>
      <c r="P28" s="165"/>
      <c r="Q28" s="148" cm="1">
        <f t="array" ref="Q28">E28+I28+M28</f>
        <v>0</v>
      </c>
      <c r="R28" s="148" cm="1">
        <f t="array" ref="R28">F28+J28+N28</f>
        <v>0</v>
      </c>
      <c r="S28" s="148" cm="1">
        <f t="array" ref="S28">G28+K28+O28</f>
        <v>0</v>
      </c>
      <c r="T28" s="145"/>
      <c r="U28" s="6"/>
      <c r="V28" s="6"/>
      <c r="W28" s="6"/>
      <c r="X28" s="6"/>
      <c r="Y28" s="6"/>
      <c r="Z28" s="6"/>
      <c r="AA28" s="112"/>
    </row>
    <row r="29" ht="15.75" customHeight="1">
      <c r="A29" s="5"/>
      <c r="B29" s="9"/>
      <c r="C29" s="166">
        <v>2023</v>
      </c>
      <c r="D29" t="s" s="167">
        <v>92</v>
      </c>
      <c r="E29" s="147"/>
      <c r="F29" s="147"/>
      <c r="G29" s="147"/>
      <c r="H29" s="165"/>
      <c r="I29" s="147"/>
      <c r="J29" s="147"/>
      <c r="K29" s="147"/>
      <c r="L29" s="165"/>
      <c r="M29" s="147"/>
      <c r="N29" s="147"/>
      <c r="O29" s="147"/>
      <c r="P29" s="165"/>
      <c r="Q29" s="148" cm="1">
        <f t="array" ref="Q29">E29+I29+M29</f>
        <v>0</v>
      </c>
      <c r="R29" s="148" cm="1">
        <f t="array" ref="R29">F29+J29+N29</f>
        <v>0</v>
      </c>
      <c r="S29" s="148" cm="1">
        <f t="array" ref="S29">G29+K29+O29</f>
        <v>0</v>
      </c>
      <c r="T29" s="145"/>
      <c r="U29" s="6"/>
      <c r="V29" s="6"/>
      <c r="W29" s="6"/>
      <c r="X29" s="6"/>
      <c r="Y29" s="6"/>
      <c r="Z29" s="6"/>
      <c r="AA29" s="112"/>
    </row>
    <row r="30" ht="15.75" customHeight="1">
      <c r="A30" s="5"/>
      <c r="B30" s="9"/>
      <c r="C30" s="166">
        <v>2023</v>
      </c>
      <c r="D30" t="s" s="167">
        <v>93</v>
      </c>
      <c r="E30" s="147"/>
      <c r="F30" s="147"/>
      <c r="G30" s="147"/>
      <c r="H30" s="165"/>
      <c r="I30" s="147"/>
      <c r="J30" s="147"/>
      <c r="K30" s="147"/>
      <c r="L30" s="165"/>
      <c r="M30" s="147"/>
      <c r="N30" s="147"/>
      <c r="O30" s="147"/>
      <c r="P30" s="165"/>
      <c r="Q30" s="148" cm="1">
        <f t="array" ref="Q30">E30+I30+M30</f>
        <v>0</v>
      </c>
      <c r="R30" s="148" cm="1">
        <f t="array" ref="R30">F30+J30+N30</f>
        <v>0</v>
      </c>
      <c r="S30" s="148" cm="1">
        <f t="array" ref="S30">G30+K30+O30</f>
        <v>0</v>
      </c>
      <c r="T30" s="145"/>
      <c r="U30" s="6"/>
      <c r="V30" s="6"/>
      <c r="W30" s="6"/>
      <c r="X30" s="6"/>
      <c r="Y30" s="6"/>
      <c r="Z30" s="6"/>
      <c r="AA30" s="112"/>
    </row>
    <row r="31" ht="15.75" customHeight="1">
      <c r="A31" s="5"/>
      <c r="B31" s="9"/>
      <c r="C31" s="166">
        <v>2023</v>
      </c>
      <c r="D31" t="s" s="167">
        <v>94</v>
      </c>
      <c r="E31" s="147"/>
      <c r="F31" s="147"/>
      <c r="G31" s="147"/>
      <c r="H31" s="165"/>
      <c r="I31" s="147"/>
      <c r="J31" s="147"/>
      <c r="K31" s="147"/>
      <c r="L31" s="165"/>
      <c r="M31" s="147"/>
      <c r="N31" s="147"/>
      <c r="O31" s="147"/>
      <c r="P31" s="165"/>
      <c r="Q31" s="148" cm="1">
        <f t="array" ref="Q31">E31+I31+M31</f>
        <v>0</v>
      </c>
      <c r="R31" s="148" cm="1">
        <f t="array" ref="R31">F31+J31+N31</f>
        <v>0</v>
      </c>
      <c r="S31" s="148" cm="1">
        <f t="array" ref="S31">G31+K31+O31</f>
        <v>0</v>
      </c>
      <c r="T31" s="145"/>
      <c r="U31" s="6"/>
      <c r="V31" s="6"/>
      <c r="W31" s="6"/>
      <c r="X31" s="6"/>
      <c r="Y31" s="6"/>
      <c r="Z31" s="6"/>
      <c r="AA31" s="112"/>
    </row>
    <row r="32" ht="15.75" customHeight="1">
      <c r="A32" s="5"/>
      <c r="B32" s="9"/>
      <c r="C32" s="166">
        <v>2023</v>
      </c>
      <c r="D32" t="s" s="167">
        <v>95</v>
      </c>
      <c r="E32" s="147"/>
      <c r="F32" s="147"/>
      <c r="G32" s="147"/>
      <c r="H32" s="165"/>
      <c r="I32" s="147"/>
      <c r="J32" s="147"/>
      <c r="K32" s="147"/>
      <c r="L32" s="165"/>
      <c r="M32" s="147"/>
      <c r="N32" s="147"/>
      <c r="O32" s="147"/>
      <c r="P32" s="165"/>
      <c r="Q32" s="148" cm="1">
        <f t="array" ref="Q32">E32+I32+M32</f>
        <v>0</v>
      </c>
      <c r="R32" s="148" cm="1">
        <f t="array" ref="R32">F32+J32+N32</f>
        <v>0</v>
      </c>
      <c r="S32" s="148" cm="1">
        <f t="array" ref="S32">G32+K32+O32</f>
        <v>0</v>
      </c>
      <c r="T32" s="145"/>
      <c r="U32" s="6"/>
      <c r="V32" s="6"/>
      <c r="W32" s="6"/>
      <c r="X32" s="6"/>
      <c r="Y32" s="6"/>
      <c r="Z32" s="6"/>
      <c r="AA32" s="112"/>
    </row>
    <row r="33" ht="15.75" customHeight="1">
      <c r="A33" s="5"/>
      <c r="B33" s="9"/>
      <c r="C33" s="166">
        <v>2023</v>
      </c>
      <c r="D33" t="s" s="167">
        <v>96</v>
      </c>
      <c r="E33" s="147"/>
      <c r="F33" s="147"/>
      <c r="G33" s="147"/>
      <c r="H33" s="165"/>
      <c r="I33" s="147"/>
      <c r="J33" s="147"/>
      <c r="K33" s="147"/>
      <c r="L33" s="165"/>
      <c r="M33" s="147"/>
      <c r="N33" s="147"/>
      <c r="O33" s="147"/>
      <c r="P33" s="165"/>
      <c r="Q33" s="148" cm="1">
        <f t="array" ref="Q33">E33+I33+M33</f>
        <v>0</v>
      </c>
      <c r="R33" s="148" cm="1">
        <f t="array" ref="R33">F33+J33+N33</f>
        <v>0</v>
      </c>
      <c r="S33" s="148" cm="1">
        <f t="array" ref="S33">G33+K33+O33</f>
        <v>0</v>
      </c>
      <c r="T33" s="145"/>
      <c r="U33" s="6"/>
      <c r="V33" s="6"/>
      <c r="W33" s="6"/>
      <c r="X33" s="6"/>
      <c r="Y33" s="6"/>
      <c r="Z33" s="6"/>
      <c r="AA33" s="112"/>
    </row>
    <row r="34" ht="15.75" customHeight="1">
      <c r="A34" s="5"/>
      <c r="B34" s="9"/>
      <c r="C34" s="166">
        <v>2023</v>
      </c>
      <c r="D34" t="s" s="167">
        <v>97</v>
      </c>
      <c r="E34" s="147"/>
      <c r="F34" s="147"/>
      <c r="G34" s="147"/>
      <c r="H34" s="165"/>
      <c r="I34" s="147"/>
      <c r="J34" s="147"/>
      <c r="K34" s="147"/>
      <c r="L34" s="165"/>
      <c r="M34" s="147"/>
      <c r="N34" s="147"/>
      <c r="O34" s="147"/>
      <c r="P34" s="165"/>
      <c r="Q34" s="148" cm="1">
        <f t="array" ref="Q34">E34+I34+M34</f>
        <v>0</v>
      </c>
      <c r="R34" s="148" cm="1">
        <f t="array" ref="R34">F34+J34+N34</f>
        <v>0</v>
      </c>
      <c r="S34" s="148" cm="1">
        <f t="array" ref="S34">G34+K34+O34</f>
        <v>0</v>
      </c>
      <c r="T34" s="145"/>
      <c r="U34" s="6"/>
      <c r="V34" s="6"/>
      <c r="W34" s="6"/>
      <c r="X34" s="6"/>
      <c r="Y34" s="6"/>
      <c r="Z34" s="6"/>
      <c r="AA34" s="112"/>
    </row>
    <row r="35" ht="15.75" customHeight="1">
      <c r="A35" s="5"/>
      <c r="B35" s="9"/>
      <c r="C35" s="166">
        <v>2023</v>
      </c>
      <c r="D35" t="s" s="167">
        <v>98</v>
      </c>
      <c r="E35" s="147"/>
      <c r="F35" s="147"/>
      <c r="G35" s="147"/>
      <c r="H35" s="165"/>
      <c r="I35" s="147"/>
      <c r="J35" s="147"/>
      <c r="K35" s="147"/>
      <c r="L35" s="165"/>
      <c r="M35" s="147"/>
      <c r="N35" s="147"/>
      <c r="O35" s="147"/>
      <c r="P35" s="165"/>
      <c r="Q35" s="148" cm="1">
        <f t="array" ref="Q35">E35+I35+M35</f>
        <v>0</v>
      </c>
      <c r="R35" s="148" cm="1">
        <f t="array" ref="R35">F35+J35+N35</f>
        <v>0</v>
      </c>
      <c r="S35" s="148" cm="1">
        <f t="array" ref="S35">G35+K35+O35</f>
        <v>0</v>
      </c>
      <c r="T35" s="145"/>
      <c r="U35" s="6"/>
      <c r="V35" s="6"/>
      <c r="W35" s="6"/>
      <c r="X35" s="6"/>
      <c r="Y35" s="6"/>
      <c r="Z35" s="6"/>
      <c r="AA35" s="112"/>
    </row>
    <row r="36" ht="15.75" customHeight="1">
      <c r="A36" s="5"/>
      <c r="B36" s="9"/>
      <c r="C36" s="168">
        <v>2023</v>
      </c>
      <c r="D36" t="s" s="169">
        <v>99</v>
      </c>
      <c r="E36" s="152"/>
      <c r="F36" s="152"/>
      <c r="G36" s="152"/>
      <c r="H36" s="165"/>
      <c r="I36" s="152"/>
      <c r="J36" s="152"/>
      <c r="K36" s="152"/>
      <c r="L36" s="165"/>
      <c r="M36" s="152"/>
      <c r="N36" s="152"/>
      <c r="O36" s="152"/>
      <c r="P36" s="165"/>
      <c r="Q36" s="153" cm="1">
        <f t="array" ref="Q36">E36+I36+M36</f>
        <v>0</v>
      </c>
      <c r="R36" s="153" cm="1">
        <f t="array" ref="R36">F36+J36+N36</f>
        <v>0</v>
      </c>
      <c r="S36" s="153" cm="1">
        <f t="array" ref="S36">G36+K36+O36</f>
        <v>0</v>
      </c>
      <c r="T36" s="145"/>
      <c r="U36" s="6"/>
      <c r="V36" s="6"/>
      <c r="W36" s="6"/>
      <c r="X36" s="6"/>
      <c r="Y36" s="6"/>
      <c r="Z36" s="6"/>
      <c r="AA36" s="112"/>
    </row>
    <row r="37" ht="15.75" customHeight="1">
      <c r="A37" s="5"/>
      <c r="B37" s="125"/>
      <c r="C37" t="s" s="155">
        <v>100</v>
      </c>
      <c r="D37" s="170"/>
      <c r="E37" s="171" cm="1">
        <f t="array" ref="E37">SUM(E25:E36)</f>
        <v>0</v>
      </c>
      <c r="F37" s="171" cm="1">
        <f t="array" ref="F37">SUM(F25:F36)</f>
        <v>0</v>
      </c>
      <c r="G37" s="172" cm="1">
        <f t="array" ref="G37">AVERAGE(G25:G36)</f>
      </c>
      <c r="H37" s="173"/>
      <c r="I37" s="157" cm="1">
        <f t="array" ref="I37">SUM(I25:I36)</f>
        <v>0</v>
      </c>
      <c r="J37" s="157" cm="1">
        <f t="array" ref="J37">SUM(J25:J36)</f>
        <v>0</v>
      </c>
      <c r="K37" s="157" cm="1">
        <f t="array" ref="K37">AVERAGE(K25:K36)</f>
      </c>
      <c r="L37" s="173"/>
      <c r="M37" s="157" cm="1">
        <f t="array" ref="M37">SUM(M25:M36)</f>
        <v>0</v>
      </c>
      <c r="N37" s="157" cm="1">
        <f t="array" ref="N37">SUM(N25:N36)</f>
        <v>0</v>
      </c>
      <c r="O37" s="157" cm="1">
        <f t="array" ref="O37">AVERAGE(O25:O36)</f>
      </c>
      <c r="P37" s="173"/>
      <c r="Q37" s="174" cm="1">
        <f t="array" ref="Q37">SUM(Q25:Q36)</f>
        <v>0</v>
      </c>
      <c r="R37" s="175" cm="1">
        <f t="array" ref="R37">SUM(R25:R36)</f>
        <v>0</v>
      </c>
      <c r="S37" s="176" cm="1">
        <f t="array" ref="S37">G37+K37+O37</f>
      </c>
      <c r="T37" s="132"/>
      <c r="U37" s="133"/>
      <c r="V37" s="133"/>
      <c r="W37" s="133"/>
      <c r="X37" s="133"/>
      <c r="Y37" s="133"/>
      <c r="Z37" s="133"/>
      <c r="AA37" s="134"/>
    </row>
    <row r="38" ht="15.75" customHeight="1">
      <c r="A38" s="5"/>
      <c r="B38" s="6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77"/>
      <c r="Q38" s="177"/>
      <c r="R38" s="177"/>
      <c r="S38" s="177"/>
      <c r="T38" s="6"/>
      <c r="U38" s="6"/>
      <c r="V38" s="6"/>
      <c r="W38" s="6"/>
      <c r="X38" s="6"/>
      <c r="Y38" s="6"/>
      <c r="Z38" s="6"/>
      <c r="AA38" s="112"/>
    </row>
    <row r="39" ht="15.75" customHeight="1">
      <c r="A39" s="5"/>
      <c r="B39" s="9"/>
      <c r="C39" t="s" s="113">
        <v>103</v>
      </c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6"/>
      <c r="P39" s="178"/>
      <c r="Q39" s="179"/>
      <c r="R39" s="179"/>
      <c r="S39" s="179"/>
      <c r="T39" s="6"/>
      <c r="U39" s="6"/>
      <c r="V39" s="6"/>
      <c r="W39" s="6"/>
      <c r="X39" s="6"/>
      <c r="Y39" s="6"/>
      <c r="Z39" s="6"/>
      <c r="AA39" s="112"/>
    </row>
    <row r="40" ht="15.75" customHeight="1">
      <c r="A40" s="5"/>
      <c r="B40" s="9"/>
      <c r="C40" s="180"/>
      <c r="D40" s="20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19"/>
      <c r="P40" s="117"/>
      <c r="Q40" s="6"/>
      <c r="R40" s="6"/>
      <c r="S40" s="6"/>
      <c r="T40" s="6"/>
      <c r="U40" s="6"/>
      <c r="V40" s="6"/>
      <c r="W40" s="6"/>
      <c r="X40" s="6"/>
      <c r="Y40" s="6"/>
      <c r="Z40" s="6"/>
      <c r="AA40" s="112"/>
    </row>
    <row r="41" ht="15.75" customHeight="1">
      <c r="A41" s="5"/>
      <c r="B41" s="9"/>
      <c r="C41" t="s" s="155">
        <v>104</v>
      </c>
      <c r="D41" s="170"/>
      <c r="E41" s="181"/>
      <c r="F41" s="6"/>
      <c r="G41" s="6"/>
      <c r="H41" s="6"/>
      <c r="I41" s="6"/>
      <c r="J41" s="6"/>
      <c r="K41" s="6"/>
      <c r="L41" s="6"/>
      <c r="M41" s="6"/>
      <c r="N41" s="6"/>
      <c r="O41" s="9"/>
      <c r="P41" s="117"/>
      <c r="Q41" s="6"/>
      <c r="R41" s="6"/>
      <c r="S41" s="6"/>
      <c r="T41" s="6"/>
      <c r="U41" s="6"/>
      <c r="V41" s="6"/>
      <c r="W41" s="6"/>
      <c r="X41" s="6"/>
      <c r="Y41" s="6"/>
      <c r="Z41" s="6"/>
      <c r="AA41" s="112"/>
    </row>
    <row r="42" ht="15.75" customHeight="1">
      <c r="A42" s="5"/>
      <c r="B42" s="9"/>
      <c r="C42" t="s" s="182">
        <v>105</v>
      </c>
      <c r="D42" s="156"/>
      <c r="E42" s="183">
        <v>1</v>
      </c>
      <c r="F42" s="117"/>
      <c r="G42" s="6"/>
      <c r="H42" s="6"/>
      <c r="I42" s="6"/>
      <c r="J42" s="6"/>
      <c r="K42" s="6"/>
      <c r="L42" s="6"/>
      <c r="M42" s="6"/>
      <c r="N42" s="6"/>
      <c r="O42" s="9"/>
      <c r="P42" s="117"/>
      <c r="Q42" s="6"/>
      <c r="R42" s="6"/>
      <c r="S42" s="6"/>
      <c r="T42" s="6"/>
      <c r="U42" s="6"/>
      <c r="V42" s="6"/>
      <c r="W42" s="6"/>
      <c r="X42" s="6"/>
      <c r="Y42" s="6"/>
      <c r="Z42" s="6"/>
      <c r="AA42" s="112"/>
    </row>
    <row r="43" ht="15.75" customHeight="1">
      <c r="A43" s="5"/>
      <c r="B43" s="9"/>
      <c r="C43" s="184"/>
      <c r="D43" s="185"/>
      <c r="E43" s="186"/>
      <c r="F43" s="7"/>
      <c r="G43" s="7"/>
      <c r="H43" s="6"/>
      <c r="I43" s="7"/>
      <c r="J43" s="7"/>
      <c r="K43" s="7"/>
      <c r="L43" s="6"/>
      <c r="M43" s="7"/>
      <c r="N43" s="7"/>
      <c r="O43" s="187"/>
      <c r="P43" s="117"/>
      <c r="Q43" s="6"/>
      <c r="R43" s="6"/>
      <c r="S43" s="6"/>
      <c r="T43" s="6"/>
      <c r="U43" s="6"/>
      <c r="V43" s="6"/>
      <c r="W43" s="6"/>
      <c r="X43" s="6"/>
      <c r="Y43" s="6"/>
      <c r="Z43" s="6"/>
      <c r="AA43" s="112"/>
    </row>
    <row r="44" ht="15.75" customHeight="1">
      <c r="A44" s="5"/>
      <c r="B44" s="9"/>
      <c r="C44" s="126"/>
      <c r="D44" s="127"/>
      <c r="E44" s="188"/>
      <c r="F44" t="s" s="42">
        <v>106</v>
      </c>
      <c r="G44" s="189"/>
      <c r="H44" s="123"/>
      <c r="I44" s="188"/>
      <c r="J44" t="s" s="42">
        <v>107</v>
      </c>
      <c r="K44" s="189"/>
      <c r="L44" s="123"/>
      <c r="M44" s="188"/>
      <c r="N44" t="s" s="42">
        <v>103</v>
      </c>
      <c r="O44" s="189"/>
      <c r="P44" s="117"/>
      <c r="Q44" s="190"/>
      <c r="R44" s="6"/>
      <c r="S44" s="6"/>
      <c r="T44" s="6"/>
      <c r="U44" s="6"/>
      <c r="V44" s="6"/>
      <c r="W44" s="6"/>
      <c r="X44" s="6"/>
      <c r="Y44" s="6"/>
      <c r="Z44" s="6"/>
      <c r="AA44" s="112"/>
    </row>
    <row r="45" ht="15.75" customHeight="1">
      <c r="A45" s="5"/>
      <c r="B45" s="9"/>
      <c r="C45" t="s" s="135">
        <v>83</v>
      </c>
      <c r="D45" t="s" s="135">
        <v>84</v>
      </c>
      <c r="E45" t="s" s="137">
        <v>85</v>
      </c>
      <c r="F45" t="s" s="137">
        <v>86</v>
      </c>
      <c r="G45" t="s" s="137">
        <v>108</v>
      </c>
      <c r="H45" s="123"/>
      <c r="I45" t="s" s="137">
        <v>85</v>
      </c>
      <c r="J45" t="s" s="137">
        <v>86</v>
      </c>
      <c r="K45" t="s" s="137">
        <v>108</v>
      </c>
      <c r="L45" s="123"/>
      <c r="M45" t="s" s="137">
        <v>85</v>
      </c>
      <c r="N45" t="s" s="137">
        <v>86</v>
      </c>
      <c r="O45" t="s" s="137">
        <v>108</v>
      </c>
      <c r="P45" s="117"/>
      <c r="Q45" s="191"/>
      <c r="R45" s="6"/>
      <c r="S45" s="191"/>
      <c r="T45" s="6"/>
      <c r="U45" s="6"/>
      <c r="V45" s="6"/>
      <c r="W45" s="6"/>
      <c r="X45" s="6"/>
      <c r="Y45" s="6"/>
      <c r="Z45" s="6"/>
      <c r="AA45" s="112"/>
    </row>
    <row r="46" ht="15.75" customHeight="1">
      <c r="A46" s="5"/>
      <c r="B46" s="9"/>
      <c r="C46" s="163" cm="1">
        <f t="array" ref="C46">C7</f>
        <v>2023</v>
      </c>
      <c r="D46" t="str" s="192" cm="1">
        <f t="array" ref="D46">D7</f>
        <v>Enero</v>
      </c>
      <c r="E46" s="193" cm="1">
        <f t="array" ref="E46">Q25*$E$42</f>
        <v>0</v>
      </c>
      <c r="F46" s="194" cm="1">
        <f t="array" ref="F46">R25*$E$42</f>
        <v>0</v>
      </c>
      <c r="G46" s="195" cm="1">
        <f t="array" ref="G46">S25*$E$42</f>
        <v>0</v>
      </c>
      <c r="H46" s="162"/>
      <c r="I46" s="193" cm="1">
        <f t="array" ref="I46">Q7</f>
        <v>0</v>
      </c>
      <c r="J46" s="195" cm="1">
        <f t="array" ref="J46">R7</f>
        <v>0</v>
      </c>
      <c r="K46" s="195" cm="1">
        <f t="array" ref="K46">S7</f>
        <v>0</v>
      </c>
      <c r="L46" s="196"/>
      <c r="M46" s="193" cm="1">
        <f t="array" ref="M46">E46+I46</f>
        <v>0</v>
      </c>
      <c r="N46" s="197" cm="1">
        <f t="array" ref="N46">F46+J46</f>
        <v>0</v>
      </c>
      <c r="O46" s="195" cm="1">
        <f t="array" ref="O46">G46+K46</f>
        <v>0</v>
      </c>
      <c r="P46" s="117"/>
      <c r="Q46" s="198"/>
      <c r="R46" s="6"/>
      <c r="S46" s="199"/>
      <c r="T46" s="6"/>
      <c r="U46" s="6"/>
      <c r="V46" s="6"/>
      <c r="W46" s="6"/>
      <c r="X46" s="6"/>
      <c r="Y46" s="6"/>
      <c r="Z46" s="6"/>
      <c r="AA46" s="112"/>
    </row>
    <row r="47" ht="15.75" customHeight="1">
      <c r="A47" s="5"/>
      <c r="B47" s="9"/>
      <c r="C47" s="166" cm="1">
        <f t="array" ref="C47">C8</f>
        <v>2023</v>
      </c>
      <c r="D47" t="str" s="200" cm="1">
        <f t="array" ref="D47">D8</f>
        <v>Febrero</v>
      </c>
      <c r="E47" s="201" cm="1">
        <f t="array" ref="E47">Q26*$E$42</f>
        <v>0</v>
      </c>
      <c r="F47" s="201" cm="1">
        <f t="array" ref="F47">R26*$E$42</f>
        <v>0</v>
      </c>
      <c r="G47" s="201" cm="1">
        <f t="array" ref="G47">S26*$E$42</f>
        <v>0</v>
      </c>
      <c r="H47" s="162"/>
      <c r="I47" s="202" cm="1">
        <f t="array" ref="I47">Q8</f>
        <v>0</v>
      </c>
      <c r="J47" s="202" cm="1">
        <f t="array" ref="J47">R8</f>
        <v>0</v>
      </c>
      <c r="K47" s="202" cm="1">
        <f t="array" ref="K47">S8</f>
        <v>0</v>
      </c>
      <c r="L47" s="196"/>
      <c r="M47" s="203" cm="1">
        <f t="array" ref="M47">E47+I47</f>
        <v>0</v>
      </c>
      <c r="N47" s="203" cm="1">
        <f t="array" ref="N47">F47+J47</f>
        <v>0</v>
      </c>
      <c r="O47" s="203" cm="1">
        <f t="array" ref="O47">G47+K47</f>
        <v>0</v>
      </c>
      <c r="P47" s="117"/>
      <c r="Q47" s="204"/>
      <c r="R47" s="204"/>
      <c r="S47" s="6"/>
      <c r="T47" s="6"/>
      <c r="U47" s="6"/>
      <c r="V47" s="6"/>
      <c r="W47" s="6"/>
      <c r="X47" s="6"/>
      <c r="Y47" s="6"/>
      <c r="Z47" s="6"/>
      <c r="AA47" s="112"/>
    </row>
    <row r="48" ht="15.75" customHeight="1">
      <c r="A48" s="5"/>
      <c r="B48" s="9"/>
      <c r="C48" s="166" cm="1">
        <f t="array" ref="C48">C9</f>
        <v>2023</v>
      </c>
      <c r="D48" t="str" s="200" cm="1">
        <f t="array" ref="D48">D9</f>
        <v>Marzo</v>
      </c>
      <c r="E48" s="201" cm="1">
        <f t="array" ref="E48">Q27*$E$42</f>
        <v>0</v>
      </c>
      <c r="F48" s="201" cm="1">
        <f t="array" ref="F48">R27*$E$42</f>
        <v>0</v>
      </c>
      <c r="G48" s="201" cm="1">
        <f t="array" ref="G48">S27*$E$42</f>
        <v>0</v>
      </c>
      <c r="H48" s="162"/>
      <c r="I48" s="202" cm="1">
        <f t="array" ref="I48">Q9</f>
        <v>0</v>
      </c>
      <c r="J48" s="202" cm="1">
        <f t="array" ref="J48">R9</f>
        <v>0</v>
      </c>
      <c r="K48" s="202" cm="1">
        <f t="array" ref="K48">S9</f>
        <v>0</v>
      </c>
      <c r="L48" s="196"/>
      <c r="M48" s="203" cm="1">
        <f t="array" ref="M48">E48+I48</f>
        <v>0</v>
      </c>
      <c r="N48" s="203" cm="1">
        <f t="array" ref="N48">F48+J48</f>
        <v>0</v>
      </c>
      <c r="O48" s="203" cm="1">
        <f t="array" ref="O48">G48+K48</f>
        <v>0</v>
      </c>
      <c r="P48" s="117"/>
      <c r="Q48" s="205"/>
      <c r="R48" s="6"/>
      <c r="S48" s="206"/>
      <c r="T48" s="6"/>
      <c r="U48" s="6"/>
      <c r="V48" s="6"/>
      <c r="W48" s="6"/>
      <c r="X48" s="6"/>
      <c r="Y48" s="6"/>
      <c r="Z48" s="6"/>
      <c r="AA48" s="112"/>
    </row>
    <row r="49" ht="15.75" customHeight="1">
      <c r="A49" s="5"/>
      <c r="B49" s="9"/>
      <c r="C49" s="166" cm="1">
        <f t="array" ref="C49">C10</f>
        <v>2023</v>
      </c>
      <c r="D49" t="str" s="200" cm="1">
        <f t="array" ref="D49">D10</f>
        <v>Abril</v>
      </c>
      <c r="E49" s="201" cm="1">
        <f t="array" ref="E49">Q28*$E$42</f>
        <v>0</v>
      </c>
      <c r="F49" s="201" cm="1">
        <f t="array" ref="F49">R28*$E$42</f>
        <v>0</v>
      </c>
      <c r="G49" s="201" cm="1">
        <f t="array" ref="G49">S28*$E$42</f>
        <v>0</v>
      </c>
      <c r="H49" s="162"/>
      <c r="I49" s="202" cm="1">
        <f t="array" ref="I49">Q10</f>
        <v>0</v>
      </c>
      <c r="J49" s="202" cm="1">
        <f t="array" ref="J49">R10</f>
        <v>0</v>
      </c>
      <c r="K49" s="202" cm="1">
        <f t="array" ref="K49">S10</f>
        <v>0</v>
      </c>
      <c r="L49" s="196"/>
      <c r="M49" s="203" cm="1">
        <f t="array" ref="M49">E49+I49</f>
        <v>0</v>
      </c>
      <c r="N49" s="203" cm="1">
        <f t="array" ref="N49">F49+J49</f>
        <v>0</v>
      </c>
      <c r="O49" s="203" cm="1">
        <f t="array" ref="O49">G49+K49</f>
        <v>0</v>
      </c>
      <c r="P49" s="117"/>
      <c r="Q49" s="204"/>
      <c r="R49" s="204"/>
      <c r="S49" s="6"/>
      <c r="T49" s="6"/>
      <c r="U49" s="6"/>
      <c r="V49" s="6"/>
      <c r="W49" s="6"/>
      <c r="X49" s="6"/>
      <c r="Y49" s="6"/>
      <c r="Z49" s="6"/>
      <c r="AA49" s="112"/>
    </row>
    <row r="50" ht="15.75" customHeight="1">
      <c r="A50" s="5"/>
      <c r="B50" s="9"/>
      <c r="C50" s="166" cm="1">
        <f t="array" ref="C50">C11</f>
        <v>2023</v>
      </c>
      <c r="D50" t="str" s="200" cm="1">
        <f t="array" ref="D50">D11</f>
        <v>Mayo</v>
      </c>
      <c r="E50" s="201" cm="1">
        <f t="array" ref="E50">Q29*$E$42</f>
        <v>0</v>
      </c>
      <c r="F50" s="201" cm="1">
        <f t="array" ref="F50">R29*$E$42</f>
        <v>0</v>
      </c>
      <c r="G50" s="201" cm="1">
        <f t="array" ref="G50">S29*$E$42</f>
        <v>0</v>
      </c>
      <c r="H50" s="162"/>
      <c r="I50" s="202" cm="1">
        <f t="array" ref="I50">Q11</f>
        <v>0</v>
      </c>
      <c r="J50" s="202" cm="1">
        <f t="array" ref="J50">R11</f>
        <v>0</v>
      </c>
      <c r="K50" s="202" cm="1">
        <f t="array" ref="K50">S11</f>
        <v>0</v>
      </c>
      <c r="L50" s="196"/>
      <c r="M50" s="203" cm="1">
        <f t="array" ref="M50">E50+I50</f>
        <v>0</v>
      </c>
      <c r="N50" s="203" cm="1">
        <f t="array" ref="N50">F50+J50</f>
        <v>0</v>
      </c>
      <c r="O50" s="203" cm="1">
        <f t="array" ref="O50">G50+K50</f>
        <v>0</v>
      </c>
      <c r="P50" s="117"/>
      <c r="Q50" s="198"/>
      <c r="R50" s="6"/>
      <c r="S50" s="206"/>
      <c r="T50" s="6"/>
      <c r="U50" s="6"/>
      <c r="V50" s="6"/>
      <c r="W50" s="6"/>
      <c r="X50" s="6"/>
      <c r="Y50" s="6"/>
      <c r="Z50" s="6"/>
      <c r="AA50" s="112"/>
    </row>
    <row r="51" ht="15.75" customHeight="1">
      <c r="A51" s="5"/>
      <c r="B51" s="9"/>
      <c r="C51" s="166" cm="1">
        <f t="array" ref="C51">C12</f>
        <v>2023</v>
      </c>
      <c r="D51" t="str" s="200" cm="1">
        <f t="array" ref="D51">D12</f>
        <v>Junio</v>
      </c>
      <c r="E51" s="201" cm="1">
        <f t="array" ref="E51">Q30*$E$42</f>
        <v>0</v>
      </c>
      <c r="F51" s="201" cm="1">
        <f t="array" ref="F51">R30*$E$42</f>
        <v>0</v>
      </c>
      <c r="G51" s="201" cm="1">
        <f t="array" ref="G51">S30*$E$42</f>
        <v>0</v>
      </c>
      <c r="H51" s="162"/>
      <c r="I51" s="202" cm="1">
        <f t="array" ref="I51">Q12</f>
        <v>0</v>
      </c>
      <c r="J51" s="202" cm="1">
        <f t="array" ref="J51">R12</f>
        <v>0</v>
      </c>
      <c r="K51" s="202" cm="1">
        <f t="array" ref="K51">S12</f>
        <v>0</v>
      </c>
      <c r="L51" s="196"/>
      <c r="M51" s="203" cm="1">
        <f t="array" ref="M51">E51+I51</f>
        <v>0</v>
      </c>
      <c r="N51" s="203" cm="1">
        <f t="array" ref="N51">F51+J51</f>
        <v>0</v>
      </c>
      <c r="O51" s="203" cm="1">
        <f t="array" ref="O51">G51+K51</f>
        <v>0</v>
      </c>
      <c r="P51" s="117"/>
      <c r="Q51" s="6"/>
      <c r="R51" s="6"/>
      <c r="S51" s="6"/>
      <c r="T51" s="6"/>
      <c r="U51" s="6"/>
      <c r="V51" s="6"/>
      <c r="W51" s="6"/>
      <c r="X51" s="6"/>
      <c r="Y51" s="6"/>
      <c r="Z51" s="6"/>
      <c r="AA51" s="112"/>
    </row>
    <row r="52" ht="15.75" customHeight="1">
      <c r="A52" s="5"/>
      <c r="B52" s="9"/>
      <c r="C52" s="166" cm="1">
        <f t="array" ref="C52">C13</f>
        <v>2023</v>
      </c>
      <c r="D52" t="str" s="200" cm="1">
        <f t="array" ref="D52">D13</f>
        <v>Julio</v>
      </c>
      <c r="E52" s="201" cm="1">
        <f t="array" ref="E52">Q31*$E$42</f>
        <v>0</v>
      </c>
      <c r="F52" s="201" cm="1">
        <f t="array" ref="F52">R31*$E$42</f>
        <v>0</v>
      </c>
      <c r="G52" s="201" cm="1">
        <f t="array" ref="G52">S31*$E$42</f>
        <v>0</v>
      </c>
      <c r="H52" s="162"/>
      <c r="I52" s="202" cm="1">
        <f t="array" ref="I52">Q13</f>
        <v>0</v>
      </c>
      <c r="J52" s="202" cm="1">
        <f t="array" ref="J52">R13</f>
        <v>0</v>
      </c>
      <c r="K52" s="202" cm="1">
        <f t="array" ref="K52">S13</f>
        <v>0</v>
      </c>
      <c r="L52" s="196"/>
      <c r="M52" s="203" cm="1">
        <f t="array" ref="M52">E52+I52</f>
        <v>0</v>
      </c>
      <c r="N52" s="203" cm="1">
        <f t="array" ref="N52">F52+J52</f>
        <v>0</v>
      </c>
      <c r="O52" s="203" cm="1">
        <f t="array" ref="O52">G52+K52</f>
        <v>0</v>
      </c>
      <c r="P52" s="117"/>
      <c r="Q52" s="198"/>
      <c r="R52" s="6"/>
      <c r="S52" s="207"/>
      <c r="T52" s="6"/>
      <c r="U52" s="6"/>
      <c r="V52" s="6"/>
      <c r="W52" s="6"/>
      <c r="X52" s="6"/>
      <c r="Y52" s="6"/>
      <c r="Z52" s="6"/>
      <c r="AA52" s="112"/>
    </row>
    <row r="53" ht="15.75" customHeight="1">
      <c r="A53" s="5"/>
      <c r="B53" s="9"/>
      <c r="C53" s="166" cm="1">
        <f t="array" ref="C53">C14</f>
        <v>2023</v>
      </c>
      <c r="D53" t="str" s="200" cm="1">
        <f t="array" ref="D53">D14</f>
        <v>Agosto</v>
      </c>
      <c r="E53" s="201" cm="1">
        <f t="array" ref="E53">Q32*$E$42</f>
        <v>0</v>
      </c>
      <c r="F53" s="201" cm="1">
        <f t="array" ref="F53">R32*$E$42</f>
        <v>0</v>
      </c>
      <c r="G53" s="201" cm="1">
        <f t="array" ref="G53">S32*$E$42</f>
        <v>0</v>
      </c>
      <c r="H53" s="162"/>
      <c r="I53" s="202" cm="1">
        <f t="array" ref="I53">Q14</f>
        <v>0</v>
      </c>
      <c r="J53" s="202" cm="1">
        <f t="array" ref="J53">R14</f>
        <v>0</v>
      </c>
      <c r="K53" s="202" cm="1">
        <f t="array" ref="K53">S14</f>
        <v>0</v>
      </c>
      <c r="L53" s="196"/>
      <c r="M53" s="203" cm="1">
        <f t="array" ref="M53">E53+I53</f>
        <v>0</v>
      </c>
      <c r="N53" s="203" cm="1">
        <f t="array" ref="N53">F53+J53</f>
        <v>0</v>
      </c>
      <c r="O53" s="203" cm="1">
        <f t="array" ref="O53">G53+K53</f>
        <v>0</v>
      </c>
      <c r="P53" s="117"/>
      <c r="Q53" s="6"/>
      <c r="R53" s="6"/>
      <c r="S53" s="6"/>
      <c r="T53" s="6"/>
      <c r="U53" s="6"/>
      <c r="V53" s="6"/>
      <c r="W53" s="6"/>
      <c r="X53" s="6"/>
      <c r="Y53" s="6"/>
      <c r="Z53" s="6"/>
      <c r="AA53" s="112"/>
    </row>
    <row r="54" ht="15.75" customHeight="1">
      <c r="A54" s="5"/>
      <c r="B54" s="9"/>
      <c r="C54" s="166" cm="1">
        <f t="array" ref="C54">C15</f>
        <v>2023</v>
      </c>
      <c r="D54" t="str" s="200" cm="1">
        <f t="array" ref="D54">D15</f>
        <v>Septiembre</v>
      </c>
      <c r="E54" s="201" cm="1">
        <f t="array" ref="E54">Q33*$E$42</f>
        <v>0</v>
      </c>
      <c r="F54" s="201" cm="1">
        <f t="array" ref="F54">R33*$E$42</f>
        <v>0</v>
      </c>
      <c r="G54" s="201" cm="1">
        <f t="array" ref="G54">S33*$E$42</f>
        <v>0</v>
      </c>
      <c r="H54" s="162"/>
      <c r="I54" s="202" cm="1">
        <f t="array" ref="I54">Q15</f>
        <v>0</v>
      </c>
      <c r="J54" s="202" cm="1">
        <f t="array" ref="J54">R15</f>
        <v>0</v>
      </c>
      <c r="K54" s="202" cm="1">
        <f t="array" ref="K54">S15</f>
        <v>0</v>
      </c>
      <c r="L54" s="196"/>
      <c r="M54" s="203" cm="1">
        <f t="array" ref="M54">E54+I54</f>
        <v>0</v>
      </c>
      <c r="N54" s="203" cm="1">
        <f t="array" ref="N54">F54+J54</f>
        <v>0</v>
      </c>
      <c r="O54" s="203" cm="1">
        <f t="array" ref="O54">G54+K54</f>
        <v>0</v>
      </c>
      <c r="P54" s="117"/>
      <c r="Q54" s="198"/>
      <c r="R54" s="6"/>
      <c r="S54" s="207"/>
      <c r="T54" s="6"/>
      <c r="U54" s="6"/>
      <c r="V54" s="6"/>
      <c r="W54" s="6"/>
      <c r="X54" s="6"/>
      <c r="Y54" s="6"/>
      <c r="Z54" s="6"/>
      <c r="AA54" s="112"/>
    </row>
    <row r="55" ht="15.75" customHeight="1">
      <c r="A55" s="5"/>
      <c r="B55" s="9"/>
      <c r="C55" s="166" cm="1">
        <f t="array" ref="C55">C16</f>
        <v>2023</v>
      </c>
      <c r="D55" t="str" s="200" cm="1">
        <f t="array" ref="D55">D16</f>
        <v>Octubre</v>
      </c>
      <c r="E55" s="201" cm="1">
        <f t="array" ref="E55">Q34*$E$42</f>
        <v>0</v>
      </c>
      <c r="F55" s="201" cm="1">
        <f t="array" ref="F55">R34*$E$42</f>
        <v>0</v>
      </c>
      <c r="G55" s="201" cm="1">
        <f t="array" ref="G55">S34*$E$42</f>
        <v>0</v>
      </c>
      <c r="H55" s="162"/>
      <c r="I55" s="202" cm="1">
        <f t="array" ref="I55">Q16</f>
        <v>0</v>
      </c>
      <c r="J55" s="202" cm="1">
        <f t="array" ref="J55">R16</f>
        <v>0</v>
      </c>
      <c r="K55" s="202" cm="1">
        <f t="array" ref="K55">S16</f>
        <v>0</v>
      </c>
      <c r="L55" s="196"/>
      <c r="M55" s="203" cm="1">
        <f t="array" ref="M55">E55+I55</f>
        <v>0</v>
      </c>
      <c r="N55" s="203" cm="1">
        <f t="array" ref="N55">F55+J55</f>
        <v>0</v>
      </c>
      <c r="O55" s="203" cm="1">
        <f t="array" ref="O55">G55+K55</f>
        <v>0</v>
      </c>
      <c r="P55" s="117"/>
      <c r="Q55" s="6"/>
      <c r="R55" s="6"/>
      <c r="S55" s="6"/>
      <c r="T55" s="6"/>
      <c r="U55" s="6"/>
      <c r="V55" s="6"/>
      <c r="W55" s="6"/>
      <c r="X55" s="6"/>
      <c r="Y55" s="6"/>
      <c r="Z55" s="6"/>
      <c r="AA55" s="112"/>
    </row>
    <row r="56" ht="15.75" customHeight="1">
      <c r="A56" s="5"/>
      <c r="B56" s="9"/>
      <c r="C56" s="166" cm="1">
        <f t="array" ref="C56">C17</f>
        <v>2023</v>
      </c>
      <c r="D56" t="str" s="200" cm="1">
        <f t="array" ref="D56">D17</f>
        <v>Noviembre</v>
      </c>
      <c r="E56" s="201" cm="1">
        <f t="array" ref="E56">Q35*$E$42</f>
        <v>0</v>
      </c>
      <c r="F56" s="201" cm="1">
        <f t="array" ref="F56">R35*$E$42</f>
        <v>0</v>
      </c>
      <c r="G56" s="201" cm="1">
        <f t="array" ref="G56">S35*$E$42</f>
        <v>0</v>
      </c>
      <c r="H56" s="162"/>
      <c r="I56" s="202" cm="1">
        <f t="array" ref="I56">Q17</f>
        <v>0</v>
      </c>
      <c r="J56" s="202" cm="1">
        <f t="array" ref="J56">R17</f>
        <v>0</v>
      </c>
      <c r="K56" s="202" cm="1">
        <f t="array" ref="K56">S17</f>
        <v>0</v>
      </c>
      <c r="L56" s="196"/>
      <c r="M56" s="203" cm="1">
        <f t="array" ref="M56">E56+I56</f>
        <v>0</v>
      </c>
      <c r="N56" s="203" cm="1">
        <f t="array" ref="N56">F56+J56</f>
        <v>0</v>
      </c>
      <c r="O56" s="203" cm="1">
        <f t="array" ref="O56">G56+K56</f>
        <v>0</v>
      </c>
      <c r="P56" s="117"/>
      <c r="Q56" s="208"/>
      <c r="R56" s="6"/>
      <c r="S56" s="6"/>
      <c r="T56" s="6"/>
      <c r="U56" s="6"/>
      <c r="V56" s="6"/>
      <c r="W56" s="6"/>
      <c r="X56" s="6"/>
      <c r="Y56" s="6"/>
      <c r="Z56" s="6"/>
      <c r="AA56" s="112"/>
    </row>
    <row r="57" ht="15.75" customHeight="1">
      <c r="A57" s="5"/>
      <c r="B57" s="9"/>
      <c r="C57" s="168" cm="1">
        <f t="array" ref="C57">C18</f>
        <v>2023</v>
      </c>
      <c r="D57" t="str" s="209" cm="1">
        <f t="array" ref="D57">D18</f>
        <v>Diciembre</v>
      </c>
      <c r="E57" s="210" cm="1">
        <f t="array" ref="E57">Q36*$E$42</f>
        <v>0</v>
      </c>
      <c r="F57" s="210" cm="1">
        <f t="array" ref="F57">R36*$E$42</f>
        <v>0</v>
      </c>
      <c r="G57" s="210" cm="1">
        <f t="array" ref="G57">S36*$E$42</f>
        <v>0</v>
      </c>
      <c r="H57" s="162"/>
      <c r="I57" s="211" cm="1">
        <f t="array" ref="I57">Q18</f>
        <v>0</v>
      </c>
      <c r="J57" s="211" cm="1">
        <f t="array" ref="J57">R18</f>
        <v>0</v>
      </c>
      <c r="K57" s="211" cm="1">
        <f t="array" ref="K57">S18</f>
        <v>0</v>
      </c>
      <c r="L57" s="196"/>
      <c r="M57" s="212" cm="1">
        <f t="array" ref="M57">E57+I57</f>
        <v>0</v>
      </c>
      <c r="N57" s="212" cm="1">
        <f t="array" ref="N57">F57+J57</f>
        <v>0</v>
      </c>
      <c r="O57" s="212" cm="1">
        <f t="array" ref="O57">G57+K57</f>
        <v>0</v>
      </c>
      <c r="P57" s="117"/>
      <c r="Q57" s="208"/>
      <c r="R57" s="6"/>
      <c r="S57" s="6"/>
      <c r="T57" s="6"/>
      <c r="U57" s="6"/>
      <c r="V57" s="6"/>
      <c r="W57" s="6"/>
      <c r="X57" s="6"/>
      <c r="Y57" s="6"/>
      <c r="Z57" s="6"/>
      <c r="AA57" s="112"/>
    </row>
    <row r="58" ht="15.75" customHeight="1">
      <c r="A58" s="5"/>
      <c r="B58" s="125"/>
      <c r="C58" t="s" s="213">
        <v>100</v>
      </c>
      <c r="D58" s="214"/>
      <c r="E58" s="215" cm="1">
        <f t="array" ref="E58">SUM(E46:E57)</f>
        <v>0</v>
      </c>
      <c r="F58" s="216" cm="1">
        <f t="array" ref="F58">SUM(F46:F57)</f>
        <v>0</v>
      </c>
      <c r="G58" s="217" cm="1">
        <f t="array" ref="G58">SUM(G46:G57)</f>
        <v>0</v>
      </c>
      <c r="H58" s="218"/>
      <c r="I58" s="219" cm="1">
        <f t="array" ref="I58">SUM(I46:I57)</f>
        <v>0</v>
      </c>
      <c r="J58" s="220" cm="1">
        <f t="array" ref="J58">SUM(J46:J57)</f>
        <v>0</v>
      </c>
      <c r="K58" s="221" cm="1">
        <f t="array" ref="K58">SUM(K46:K57)</f>
        <v>0</v>
      </c>
      <c r="L58" s="218"/>
      <c r="M58" s="219" cm="1">
        <f t="array" ref="M58">SUM(M46:M57)</f>
        <v>0</v>
      </c>
      <c r="N58" s="186" cm="1">
        <f t="array" ref="N58">SUM(N46:N57)</f>
        <v>0</v>
      </c>
      <c r="O58" s="222" cm="1">
        <f t="array" ref="O58">SUM(O46:O57)</f>
        <v>0</v>
      </c>
      <c r="P58" s="132"/>
      <c r="Q58" s="208"/>
      <c r="R58" s="133"/>
      <c r="S58" s="133"/>
      <c r="T58" s="133"/>
      <c r="U58" s="133"/>
      <c r="V58" s="133"/>
      <c r="W58" s="133"/>
      <c r="X58" s="133"/>
      <c r="Y58" s="133"/>
      <c r="Z58" s="133"/>
      <c r="AA58" s="134"/>
    </row>
    <row r="59" ht="15.75" customHeight="1">
      <c r="A59" s="25"/>
      <c r="B59" s="26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6"/>
      <c r="Q59" s="224"/>
      <c r="R59" s="26"/>
      <c r="S59" s="26"/>
      <c r="T59" s="26"/>
      <c r="U59" s="26"/>
      <c r="V59" s="26"/>
      <c r="W59" s="26"/>
      <c r="X59" s="26"/>
      <c r="Y59" s="26"/>
      <c r="Z59" s="26"/>
      <c r="AA59" s="225"/>
    </row>
  </sheetData>
  <mergeCells count="22">
    <mergeCell ref="C3:S3"/>
    <mergeCell ref="C19:D19"/>
    <mergeCell ref="Q4:S5"/>
    <mergeCell ref="Q54:R54"/>
    <mergeCell ref="C42:D42"/>
    <mergeCell ref="Q44:S44"/>
    <mergeCell ref="C21:S21"/>
    <mergeCell ref="C37:D37"/>
    <mergeCell ref="Q22:S23"/>
    <mergeCell ref="Q45:R45"/>
    <mergeCell ref="Q46:R46"/>
    <mergeCell ref="Q48:R48"/>
    <mergeCell ref="Q50:R50"/>
    <mergeCell ref="Q52:R52"/>
    <mergeCell ref="C39:O39"/>
    <mergeCell ref="E4:G5"/>
    <mergeCell ref="I4:K5"/>
    <mergeCell ref="M4:O5"/>
    <mergeCell ref="C41:D41"/>
    <mergeCell ref="E22:G23"/>
    <mergeCell ref="I22:K23"/>
    <mergeCell ref="M22:O23"/>
  </mergeCells>
  <pageMargins left="0.7" right="0.7" top="0.75" bottom="0.75" header="0.3" footer="0.3"/>
  <pageSetup firstPageNumber="1" fitToHeight="1" fitToWidth="1" scale="34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I43"/>
  <sheetViews>
    <sheetView workbookViewId="0" showGridLines="0" defaultGridColor="1"/>
  </sheetViews>
  <sheetFormatPr defaultColWidth="10.8333" defaultRowHeight="14.4" customHeight="1" outlineLevelRow="0" outlineLevelCol="0"/>
  <cols>
    <col min="1" max="1" width="5.17188" style="226" customWidth="1"/>
    <col min="2" max="2" width="3.67188" style="226" customWidth="1"/>
    <col min="3" max="3" width="48.8516" style="226" customWidth="1"/>
    <col min="4" max="4" width="13.1719" style="226" customWidth="1"/>
    <col min="5" max="5" width="13.8516" style="226" customWidth="1"/>
    <col min="6" max="7" width="25.6719" style="226" customWidth="1"/>
    <col min="8" max="8" width="10.8516" style="226" customWidth="1"/>
    <col min="9" max="9" width="16.5" style="226" customWidth="1"/>
    <col min="10" max="16384" width="10.8516" style="226" customWidth="1"/>
  </cols>
  <sheetData>
    <row r="1" ht="16" customHeight="1">
      <c r="A1" s="2"/>
      <c r="B1" s="3"/>
      <c r="C1" s="3"/>
      <c r="D1" s="3"/>
      <c r="E1" s="31"/>
      <c r="F1" s="31"/>
      <c r="G1" s="31"/>
      <c r="H1" s="3"/>
      <c r="I1" s="4"/>
    </row>
    <row r="2" ht="15" customHeight="1">
      <c r="A2" s="5"/>
      <c r="B2" s="6"/>
      <c r="C2" s="7"/>
      <c r="D2" s="7"/>
      <c r="E2" s="35"/>
      <c r="F2" s="35"/>
      <c r="G2" s="35"/>
      <c r="H2" s="7"/>
      <c r="I2" s="8"/>
    </row>
    <row r="3" ht="37.2" customHeight="1">
      <c r="A3" s="5"/>
      <c r="B3" s="9"/>
      <c r="C3" t="s" s="227">
        <v>121</v>
      </c>
      <c r="D3" s="228"/>
      <c r="E3" s="229"/>
      <c r="F3" s="228"/>
      <c r="G3" s="228"/>
      <c r="H3" s="228"/>
      <c r="I3" s="230"/>
    </row>
    <row r="4" ht="16.5" customHeight="1">
      <c r="A4" s="5"/>
      <c r="B4" s="6"/>
      <c r="C4" s="231"/>
      <c r="D4" s="231"/>
      <c r="E4" s="232"/>
      <c r="F4" s="232"/>
      <c r="G4" s="233"/>
      <c r="H4" s="177"/>
      <c r="I4" s="234"/>
    </row>
    <row r="5" ht="16" customHeight="1">
      <c r="A5" s="5"/>
      <c r="B5" s="235"/>
      <c r="C5" t="s" s="236">
        <v>122</v>
      </c>
      <c r="D5" t="s" s="237">
        <v>123</v>
      </c>
      <c r="E5" t="s" s="238">
        <v>124</v>
      </c>
      <c r="F5" t="s" s="239">
        <v>125</v>
      </c>
      <c r="G5" s="240"/>
      <c r="H5" s="6"/>
      <c r="I5" s="112"/>
    </row>
    <row r="6" ht="16" customHeight="1">
      <c r="A6" s="5"/>
      <c r="B6" s="235"/>
      <c r="C6" t="s" s="241">
        <v>126</v>
      </c>
      <c r="D6" s="242">
        <v>0.1</v>
      </c>
      <c r="E6" s="243" cm="1">
        <f t="array" ref="E6">G16</f>
      </c>
      <c r="F6" s="244" cm="1">
        <f t="array" ref="F6">D6*E6</f>
      </c>
      <c r="G6" s="240"/>
      <c r="H6" s="6"/>
      <c r="I6" s="112"/>
    </row>
    <row r="7" ht="16" customHeight="1">
      <c r="A7" s="5"/>
      <c r="B7" s="235"/>
      <c r="C7" t="s" s="241">
        <v>127</v>
      </c>
      <c r="D7" s="242">
        <v>0.2</v>
      </c>
      <c r="E7" s="243" cm="1">
        <f t="array" ref="E7">G21</f>
      </c>
      <c r="F7" s="244" cm="1">
        <f t="array" ref="F7">D7*E7</f>
      </c>
      <c r="G7" s="240"/>
      <c r="H7" s="6"/>
      <c r="I7" s="112"/>
    </row>
    <row r="8" ht="16" customHeight="1">
      <c r="A8" s="5"/>
      <c r="B8" s="235"/>
      <c r="C8" t="s" s="241">
        <v>128</v>
      </c>
      <c r="D8" s="242">
        <v>0.25</v>
      </c>
      <c r="E8" s="243" cm="1">
        <f t="array" ref="E8">G26</f>
      </c>
      <c r="F8" s="244" cm="1">
        <f t="array" ref="F8">D8*E8</f>
      </c>
      <c r="G8" s="240"/>
      <c r="H8" s="6"/>
      <c r="I8" s="112"/>
    </row>
    <row r="9" ht="16" customHeight="1">
      <c r="A9" s="5"/>
      <c r="B9" s="235"/>
      <c r="C9" t="s" s="241">
        <v>129</v>
      </c>
      <c r="D9" s="242">
        <v>0.35</v>
      </c>
      <c r="E9" s="243" cm="1">
        <f t="array" ref="E9">G32</f>
      </c>
      <c r="F9" s="244" cm="1">
        <f t="array" ref="F9">D9*E9</f>
      </c>
      <c r="G9" s="240"/>
      <c r="H9" s="6"/>
      <c r="I9" s="112"/>
    </row>
    <row r="10" ht="15" customHeight="1">
      <c r="A10" s="5"/>
      <c r="B10" s="235"/>
      <c r="C10" t="s" s="245">
        <v>130</v>
      </c>
      <c r="D10" s="246">
        <v>0.1</v>
      </c>
      <c r="E10" s="247" cm="1">
        <f t="array" ref="E10">G39</f>
        <v>30</v>
      </c>
      <c r="F10" s="248" cm="1">
        <f t="array" ref="F10">D10*E10</f>
        <v>3</v>
      </c>
      <c r="G10" s="240"/>
      <c r="H10" s="6"/>
      <c r="I10" s="112"/>
    </row>
    <row r="11" ht="15" customHeight="1">
      <c r="A11" s="5"/>
      <c r="B11" s="9"/>
      <c r="C11" t="s" s="249">
        <v>131</v>
      </c>
      <c r="D11" s="250" cm="1">
        <f t="array" ref="D11">SUM(D6:D10)</f>
        <v>1</v>
      </c>
      <c r="E11" s="251"/>
      <c r="F11" s="252" cm="1">
        <f t="array" ref="F11">SUM(F6:F10)</f>
      </c>
      <c r="G11" s="253"/>
      <c r="H11" s="6"/>
      <c r="I11" s="112"/>
    </row>
    <row r="12" ht="16.5" customHeight="1">
      <c r="A12" s="5"/>
      <c r="B12" s="6"/>
      <c r="C12" s="231"/>
      <c r="D12" s="231"/>
      <c r="E12" s="232"/>
      <c r="F12" s="232"/>
      <c r="G12" s="254"/>
      <c r="H12" s="6"/>
      <c r="I12" s="112"/>
    </row>
    <row r="13" ht="16" customHeight="1">
      <c r="A13" s="5"/>
      <c r="B13" s="235"/>
      <c r="C13" t="s" s="236">
        <v>132</v>
      </c>
      <c r="D13" t="s" s="237">
        <v>123</v>
      </c>
      <c r="E13" t="s" s="237">
        <v>133</v>
      </c>
      <c r="F13" t="s" s="238">
        <v>124</v>
      </c>
      <c r="G13" t="s" s="239">
        <v>125</v>
      </c>
      <c r="H13" s="145"/>
      <c r="I13" s="112"/>
    </row>
    <row r="14" ht="17" customHeight="1">
      <c r="A14" s="5"/>
      <c r="B14" s="235"/>
      <c r="C14" t="s" s="241">
        <v>134</v>
      </c>
      <c r="D14" s="242">
        <v>0.5</v>
      </c>
      <c r="E14" s="255" cm="1">
        <f t="array" ref="E14">(('ESTADOS FINANCIEROS'!D21/'ESTADOS FINANCIEROS'!D34)*0.4)+(('ESTADOS FINANCIEROS'!F21/'ESTADOS FINANCIEROS'!F34)*0.4)+((('ESTADOS FINANCIEROS'!H21/'ESTADOS FINANCIEROS'!H34)*0.2))</f>
      </c>
      <c r="F14" s="256" cm="1">
        <f t="array" ref="F14">IF(E14&gt;3,30,IF(AND(E14&gt;=1.5,E14&lt;=2.5),100,IF(AND(E14&gt;=1,E14&lt;1.5),70,50)))</f>
      </c>
      <c r="G14" s="257" cm="1">
        <f t="array" ref="G14">F14*D14</f>
      </c>
      <c r="H14" s="145"/>
      <c r="I14" s="112"/>
    </row>
    <row r="15" ht="15" customHeight="1">
      <c r="A15" s="5"/>
      <c r="B15" s="235"/>
      <c r="C15" t="s" s="245">
        <v>135</v>
      </c>
      <c r="D15" s="246">
        <v>0.5</v>
      </c>
      <c r="E15" s="258" cm="1">
        <f t="array" ref="E15">((('ESTADOS FINANCIEROS'!D21-'ESTADOS FINANCIEROS'!D34)/'ESTADOS FINANCIEROS'!D6)*0.4)+((('ESTADOS FINANCIEROS'!F21-'ESTADOS FINANCIEROS'!F34)/'ESTADOS FINANCIEROS'!F6)*0.4)+((('ESTADOS FINANCIEROS'!H21-'ESTADOS FINANCIEROS'!H34)/'ESTADOS FINANCIEROS'!H6)*0.2)</f>
      </c>
      <c r="F15" s="259" cm="1">
        <f t="array" ref="F15">IF(E15&gt;0.1,100,IF(E15&gt;=0,70,50))</f>
      </c>
      <c r="G15" s="259" cm="1">
        <f t="array" ref="G15">F15*D15</f>
      </c>
      <c r="H15" s="145"/>
      <c r="I15" s="112"/>
    </row>
    <row r="16" ht="15" customHeight="1">
      <c r="A16" s="5"/>
      <c r="B16" s="9"/>
      <c r="C16" t="s" s="249">
        <v>131</v>
      </c>
      <c r="D16" s="250" cm="1">
        <f t="array" ref="D16">SUM(D14:D15)</f>
        <v>1</v>
      </c>
      <c r="E16" s="260"/>
      <c r="F16" s="261"/>
      <c r="G16" s="261" cm="1">
        <f t="array" ref="G16">SUM(G14:G15)</f>
      </c>
      <c r="H16" s="117"/>
      <c r="I16" s="112"/>
    </row>
    <row r="17" ht="16.5" customHeight="1">
      <c r="A17" s="5"/>
      <c r="B17" s="6"/>
      <c r="C17" s="231"/>
      <c r="D17" s="231"/>
      <c r="E17" s="232"/>
      <c r="F17" s="232"/>
      <c r="G17" s="232"/>
      <c r="H17" s="6"/>
      <c r="I17" s="112"/>
    </row>
    <row r="18" ht="16" customHeight="1">
      <c r="A18" s="5"/>
      <c r="B18" s="235"/>
      <c r="C18" t="s" s="236">
        <v>136</v>
      </c>
      <c r="D18" t="s" s="237">
        <v>123</v>
      </c>
      <c r="E18" t="s" s="237">
        <v>133</v>
      </c>
      <c r="F18" t="s" s="238">
        <v>124</v>
      </c>
      <c r="G18" t="s" s="239">
        <v>125</v>
      </c>
      <c r="H18" s="145"/>
      <c r="I18" s="112"/>
    </row>
    <row r="19" ht="16" customHeight="1">
      <c r="A19" s="5"/>
      <c r="B19" s="235"/>
      <c r="C19" t="s" s="241">
        <v>137</v>
      </c>
      <c r="D19" s="242">
        <v>0.5</v>
      </c>
      <c r="E19" s="262" cm="1">
        <f t="array" ref="E19">(('ESTADOS FINANCIEROS'!D10/'ESTADOS FINANCIEROS'!D6)*0.4)+(('ESTADOS FINANCIEROS'!F10/'ESTADOS FINANCIEROS'!F6)*0.4)+(('ESTADOS FINANCIEROS'!H10/'ESTADOS FINANCIEROS'!H6)*0.2)</f>
      </c>
      <c r="F19" s="257" cm="1">
        <f t="array" ref="F19">IF(E19&gt;0.2,100,IF(E19&gt;=0.1,70,50))</f>
      </c>
      <c r="G19" s="257" cm="1">
        <f t="array" ref="G19">F19*D19</f>
      </c>
      <c r="H19" s="145"/>
      <c r="I19" s="112"/>
    </row>
    <row r="20" ht="15" customHeight="1">
      <c r="A20" s="5"/>
      <c r="B20" s="235"/>
      <c r="C20" t="s" s="245">
        <v>138</v>
      </c>
      <c r="D20" s="246">
        <v>0.5</v>
      </c>
      <c r="E20" s="263" cm="1">
        <f t="array" ref="E20">(('ESTADOS FINANCIEROS'!F6-'ESTADOS FINANCIEROS'!D6)/'ESTADOS FINANCIEROS'!F6)</f>
      </c>
      <c r="F20" s="259" cm="1">
        <f t="array" ref="F20">IF(E20&gt;0.05,100,IF(E20&gt;=-0.05,70,IF(E20&gt;=-0.15,50,30)))</f>
      </c>
      <c r="G20" s="259" cm="1">
        <f t="array" ref="G20">F20*D20</f>
      </c>
      <c r="H20" s="145"/>
      <c r="I20" s="112"/>
    </row>
    <row r="21" ht="15" customHeight="1">
      <c r="A21" s="5"/>
      <c r="B21" s="9"/>
      <c r="C21" t="s" s="249">
        <v>131</v>
      </c>
      <c r="D21" s="250" cm="1">
        <f t="array" ref="D21">SUM(D19:D20)</f>
        <v>1</v>
      </c>
      <c r="E21" s="260"/>
      <c r="F21" s="261"/>
      <c r="G21" s="261" cm="1">
        <f t="array" ref="G21">SUM(G19:G20)</f>
      </c>
      <c r="H21" s="117"/>
      <c r="I21" s="112"/>
    </row>
    <row r="22" ht="16.5" customHeight="1">
      <c r="A22" s="5"/>
      <c r="B22" s="6"/>
      <c r="C22" s="231"/>
      <c r="D22" s="231"/>
      <c r="E22" s="232"/>
      <c r="F22" s="232"/>
      <c r="G22" s="232"/>
      <c r="H22" s="6"/>
      <c r="I22" s="112"/>
    </row>
    <row r="23" ht="16" customHeight="1">
      <c r="A23" s="5"/>
      <c r="B23" s="235"/>
      <c r="C23" t="s" s="236">
        <v>139</v>
      </c>
      <c r="D23" t="s" s="237">
        <v>123</v>
      </c>
      <c r="E23" t="s" s="237">
        <v>133</v>
      </c>
      <c r="F23" t="s" s="238">
        <v>124</v>
      </c>
      <c r="G23" t="s" s="239">
        <v>125</v>
      </c>
      <c r="H23" s="145"/>
      <c r="I23" s="112"/>
    </row>
    <row r="24" ht="16" customHeight="1">
      <c r="A24" s="5"/>
      <c r="B24" s="235"/>
      <c r="C24" t="s" s="241">
        <v>140</v>
      </c>
      <c r="D24" s="242">
        <v>0.5</v>
      </c>
      <c r="E24" s="264" cm="1">
        <f t="array" ref="E24">((('ESTADOS FINANCIEROS'!D40-'ESTADOS FINANCIEROS'!D21)/'ESTADOS FINANCIEROS'!D9)*0.4)+((('ESTADOS FINANCIEROS'!F40-'ESTADOS FINANCIEROS'!F21)/'ESTADOS FINANCIEROS'!F9)*0.4)+((('ESTADOS FINANCIEROS'!H40-'ESTADOS FINANCIEROS'!H21)/'ESTADOS FINANCIEROS'!H9)*0.2)</f>
      </c>
      <c r="F24" s="257" cm="1">
        <f t="array" ref="F24">IF(E24&gt;5,30,IF(E24&lt;2.5,100,IF(E24&lt;=4,70,50)))</f>
      </c>
      <c r="G24" s="257" cm="1">
        <f t="array" ref="G24">F24*D24</f>
      </c>
      <c r="H24" s="145"/>
      <c r="I24" s="112"/>
    </row>
    <row r="25" ht="15" customHeight="1">
      <c r="A25" s="5"/>
      <c r="B25" s="235"/>
      <c r="C25" t="s" s="245">
        <v>141</v>
      </c>
      <c r="D25" s="246">
        <v>0.5</v>
      </c>
      <c r="E25" s="265" cm="1">
        <f t="array" ref="E25">(('ESTADOS FINANCIEROS'!D40/'ESTADOS FINANCIEROS'!D43)*0.4)+(('ESTADOS FINANCIEROS'!F40/'ESTADOS FINANCIEROS'!F43)*0.4)+(('ESTADOS FINANCIEROS'!H40/'ESTADOS FINANCIEROS'!H43)*0.2)</f>
      </c>
      <c r="F25" s="259" cm="1">
        <f t="array" ref="F25">IF(E25&gt;2.5,30,IF(E25&lt;1,100,IF(E25&lt;=2,70,50)))</f>
      </c>
      <c r="G25" s="259" cm="1">
        <f t="array" ref="G25">F25*D25</f>
      </c>
      <c r="H25" s="145"/>
      <c r="I25" s="112"/>
    </row>
    <row r="26" ht="15" customHeight="1">
      <c r="A26" s="5"/>
      <c r="B26" s="9"/>
      <c r="C26" t="s" s="249">
        <v>131</v>
      </c>
      <c r="D26" s="250" cm="1">
        <f t="array" ref="D26">SUM(D24:D25)</f>
        <v>1</v>
      </c>
      <c r="E26" s="260"/>
      <c r="F26" s="261"/>
      <c r="G26" s="261" cm="1">
        <f t="array" ref="G26">SUM(G24:G25)</f>
      </c>
      <c r="H26" s="117"/>
      <c r="I26" s="112"/>
    </row>
    <row r="27" ht="16.5" customHeight="1">
      <c r="A27" s="5"/>
      <c r="B27" s="6"/>
      <c r="C27" s="231"/>
      <c r="D27" s="231"/>
      <c r="E27" s="232"/>
      <c r="F27" s="232"/>
      <c r="G27" s="232"/>
      <c r="H27" s="6"/>
      <c r="I27" s="112"/>
    </row>
    <row r="28" ht="16" customHeight="1">
      <c r="A28" s="5"/>
      <c r="B28" s="235"/>
      <c r="C28" t="s" s="236">
        <v>142</v>
      </c>
      <c r="D28" t="s" s="237">
        <v>123</v>
      </c>
      <c r="E28" t="s" s="237">
        <v>133</v>
      </c>
      <c r="F28" t="s" s="238">
        <v>124</v>
      </c>
      <c r="G28" t="s" s="239">
        <v>125</v>
      </c>
      <c r="H28" s="145"/>
      <c r="I28" s="112"/>
    </row>
    <row r="29" ht="16" customHeight="1">
      <c r="A29" s="5"/>
      <c r="B29" s="235"/>
      <c r="C29" t="s" s="241">
        <v>143</v>
      </c>
      <c r="D29" s="242">
        <v>0.5</v>
      </c>
      <c r="E29" s="264" cm="1">
        <f t="array" ref="E29">(('ESTADOS FINANCIEROS'!D57/'ESTADOS FINANCIEROS'!D11)*0.4)+(('ESTADOS FINANCIEROS'!F57/'ESTADOS FINANCIEROS'!F11)*0.4)+(('ESTADOS FINANCIEROS'!H57/'ESTADOS FINANCIEROS'!H11)*0.2)</f>
      </c>
      <c r="F29" s="257" cm="1">
        <f t="array" ref="F29">IF(E29&gt;=1.5,100,IF(E29&gt;=1.2,70,IF(E29&gt;=1,50,30)))</f>
      </c>
      <c r="G29" s="257" cm="1">
        <f t="array" ref="G29">F29*D29</f>
      </c>
      <c r="H29" s="145"/>
      <c r="I29" s="112"/>
    </row>
    <row r="30" ht="16" customHeight="1">
      <c r="A30" s="5"/>
      <c r="B30" s="235"/>
      <c r="C30" t="s" s="241">
        <v>144</v>
      </c>
      <c r="D30" s="242">
        <v>0.3</v>
      </c>
      <c r="E30" s="264" cm="1">
        <f t="array" ref="E30">('ESTADOS FINANCIEROS'!D10*0.4)+('ESTADOS FINANCIEROS'!F10*0.4)+('ESTADOS FINANCIEROS'!H10*0.2)/PMT('DATOS CUALITATIVOS'!E13,'DATOS CUALITATIVOS'!E12,-'DATOS CUALITATIVOS'!E14)</f>
      </c>
      <c r="F30" s="257" cm="1">
        <f t="array" ref="F30">IF(E30&gt;=2,100,IF(E30&gt;=1.5,70,IF(E30&gt;=1.2,50,30)))</f>
      </c>
      <c r="G30" s="257" cm="1">
        <f t="array" ref="G30">F30*D30</f>
      </c>
      <c r="H30" s="145"/>
      <c r="I30" s="112"/>
    </row>
    <row r="31" ht="15" customHeight="1">
      <c r="A31" s="5"/>
      <c r="B31" s="235"/>
      <c r="C31" t="s" s="245">
        <v>145</v>
      </c>
      <c r="D31" s="246">
        <v>0.2</v>
      </c>
      <c r="E31" s="266" cm="1">
        <f t="array" ref="E31">(('ESTADOS FINANCIEROS'!D41/'ESTADOS FINANCIEROS'!D6)*0.4)+(('ESTADOS FINANCIEROS'!F41/'ESTADOS FINANCIEROS'!F6)*0.4)+(('ESTADOS FINANCIEROS'!H41/'ESTADOS FINANCIEROS'!H6)*0.2)</f>
      </c>
      <c r="F31" s="259" cm="1">
        <f t="array" ref="F31">IF(E31&lt;0.3,100,IF(E31&lt;=0.5,70,IF(E31&lt;=0.7,50,30)))</f>
      </c>
      <c r="G31" s="259" cm="1">
        <f t="array" ref="G31">F31*D31</f>
      </c>
      <c r="H31" s="145"/>
      <c r="I31" s="112"/>
    </row>
    <row r="32" ht="15" customHeight="1">
      <c r="A32" s="5"/>
      <c r="B32" s="9"/>
      <c r="C32" t="s" s="249">
        <v>131</v>
      </c>
      <c r="D32" s="250" cm="1">
        <f t="array" ref="D32">SUM(D29:D31)</f>
        <v>1</v>
      </c>
      <c r="E32" s="260"/>
      <c r="F32" s="261"/>
      <c r="G32" s="261" cm="1">
        <f t="array" ref="G32">SUM(G29:G31)</f>
      </c>
      <c r="H32" s="117"/>
      <c r="I32" s="112"/>
    </row>
    <row r="33" ht="16.5" customHeight="1">
      <c r="A33" s="5"/>
      <c r="B33" s="6"/>
      <c r="C33" s="231"/>
      <c r="D33" s="231"/>
      <c r="E33" s="232"/>
      <c r="F33" s="232"/>
      <c r="G33" s="232"/>
      <c r="H33" s="6"/>
      <c r="I33" s="112"/>
    </row>
    <row r="34" ht="16" customHeight="1">
      <c r="A34" s="5"/>
      <c r="B34" s="235"/>
      <c r="C34" t="s" s="236">
        <v>146</v>
      </c>
      <c r="D34" t="s" s="237">
        <v>123</v>
      </c>
      <c r="E34" t="s" s="237">
        <v>133</v>
      </c>
      <c r="F34" t="s" s="238">
        <v>124</v>
      </c>
      <c r="G34" t="s" s="239">
        <v>125</v>
      </c>
      <c r="H34" s="145"/>
      <c r="I34" s="112"/>
    </row>
    <row r="35" ht="16" customHeight="1">
      <c r="A35" s="5"/>
      <c r="B35" s="235"/>
      <c r="C35" t="s" s="241">
        <v>147</v>
      </c>
      <c r="D35" s="242">
        <v>0.4</v>
      </c>
      <c r="E35" s="267" cm="1">
        <f t="array" ref="E35">'DATOS CUALITATIVOS'!E5</f>
        <v>0</v>
      </c>
      <c r="F35" s="268" cm="1">
        <f t="array" ref="F35">IF(E35&gt;=700,100,IF(E35&gt;=650,70,IF(E35&gt;=600,50,30)))</f>
        <v>30</v>
      </c>
      <c r="G35" s="269" cm="1">
        <f t="array" ref="G35">F35*D35</f>
        <v>12</v>
      </c>
      <c r="H35" s="145"/>
      <c r="I35" s="112"/>
    </row>
    <row r="36" ht="16" customHeight="1">
      <c r="A36" s="5"/>
      <c r="B36" s="235"/>
      <c r="C36" t="s" s="241">
        <v>148</v>
      </c>
      <c r="D36" s="242">
        <v>0.2</v>
      </c>
      <c r="E36" s="267" cm="1">
        <f t="array" ref="E36">'DATOS CUALITATIVOS'!E6</f>
        <v>0</v>
      </c>
      <c r="F36" s="268" cm="1">
        <f t="array" ref="F36">IF(E36&gt;7,100,IF(E36&gt;=4,70,IF(E36&gt;=2,50,30)))</f>
        <v>30</v>
      </c>
      <c r="G36" s="269" cm="1">
        <f t="array" ref="G36">F36*D36</f>
        <v>6</v>
      </c>
      <c r="H36" s="145"/>
      <c r="I36" s="112"/>
    </row>
    <row r="37" ht="16" customHeight="1">
      <c r="A37" s="5"/>
      <c r="B37" s="235"/>
      <c r="C37" t="s" s="241">
        <v>149</v>
      </c>
      <c r="D37" s="242">
        <v>0.2</v>
      </c>
      <c r="E37" s="267" cm="1">
        <f t="array" ref="E37">'DATOS CUALITATIVOS'!E7</f>
        <v>0</v>
      </c>
      <c r="F37" s="268" cm="1">
        <f t="array" ref="F37">IF(E37&gt;=80,100,IF(E37&gt;=60,70,IF(E37&gt;=40,50,30)))</f>
        <v>30</v>
      </c>
      <c r="G37" s="269" cm="1">
        <f t="array" ref="G37">F37*D37</f>
        <v>6</v>
      </c>
      <c r="H37" s="145"/>
      <c r="I37" s="112"/>
    </row>
    <row r="38" ht="15" customHeight="1">
      <c r="A38" s="5"/>
      <c r="B38" s="235"/>
      <c r="C38" t="s" s="245">
        <v>150</v>
      </c>
      <c r="D38" s="246">
        <v>0.2</v>
      </c>
      <c r="E38" s="270" cm="1">
        <f t="array" ref="E38">'DATOS CUALITATIVOS'!E8</f>
        <v>0</v>
      </c>
      <c r="F38" s="271" cm="1">
        <f t="array" ref="F38">IF(E38&gt;=80,100,IF(E38&gt;=60,70,IF(E38&gt;=40,50,30)))</f>
        <v>30</v>
      </c>
      <c r="G38" s="272" cm="1">
        <f t="array" ref="G38">F38*D38</f>
        <v>6</v>
      </c>
      <c r="H38" s="145"/>
      <c r="I38" s="112"/>
    </row>
    <row r="39" ht="15" customHeight="1">
      <c r="A39" s="5"/>
      <c r="B39" s="9"/>
      <c r="C39" t="s" s="249">
        <v>131</v>
      </c>
      <c r="D39" s="250" cm="1">
        <f t="array" ref="D39">SUM(D35:D38)</f>
        <v>1</v>
      </c>
      <c r="E39" s="260"/>
      <c r="F39" s="261"/>
      <c r="G39" s="273" cm="1">
        <f t="array" ref="G39">SUM(G35:G38)</f>
        <v>30</v>
      </c>
      <c r="H39" s="117"/>
      <c r="I39" s="112"/>
    </row>
    <row r="40" ht="16.5" customHeight="1">
      <c r="A40" s="5"/>
      <c r="B40" s="6"/>
      <c r="C40" s="231"/>
      <c r="D40" s="231"/>
      <c r="E40" s="233"/>
      <c r="F40" s="233"/>
      <c r="G40" s="233"/>
      <c r="H40" s="6"/>
      <c r="I40" s="112"/>
    </row>
    <row r="41" ht="16" customHeight="1">
      <c r="A41" s="5"/>
      <c r="B41" s="235"/>
      <c r="C41" t="s" s="236">
        <v>151</v>
      </c>
      <c r="D41" s="274"/>
      <c r="E41" s="275"/>
      <c r="F41" s="34"/>
      <c r="G41" s="34"/>
      <c r="H41" s="6"/>
      <c r="I41" s="112"/>
    </row>
    <row r="42" ht="15" customHeight="1">
      <c r="A42" s="5"/>
      <c r="B42" s="235"/>
      <c r="C42" t="s" s="276">
        <v>152</v>
      </c>
      <c r="D42" s="277" cm="1">
        <f t="array" ref="D42">F11</f>
      </c>
      <c r="E42" s="275"/>
      <c r="F42" s="34"/>
      <c r="G42" s="34"/>
      <c r="H42" s="6"/>
      <c r="I42" s="112"/>
    </row>
    <row r="43" ht="15.6" customHeight="1">
      <c r="A43" s="25"/>
      <c r="B43" s="278"/>
      <c r="C43" t="s" s="276">
        <v>153</v>
      </c>
      <c r="D43" s="277" cm="1">
        <f t="array" ref="D43">IF(D42&gt;=90,"A - Muy Bajo",IF(D42&gt;=80,"B - Bajo",IF(D42&gt;=70,"C - Medio",IF(D42&gt;=60,"D - Medio Alto",IF(D42&gt;=50,"E - Alto","F - Muy Alto")))))</f>
      </c>
      <c r="E43" s="279"/>
      <c r="F43" s="280"/>
      <c r="G43" s="280"/>
      <c r="H43" s="26"/>
      <c r="I43" s="225"/>
    </row>
  </sheetData>
  <pageMargins left="0.7" right="0.7" top="0.75" bottom="0.75" header="0.3" footer="0.3"/>
  <pageSetup firstPageNumber="1" fitToHeight="1" fitToWidth="1" scale="5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25"/>
  <sheetViews>
    <sheetView workbookViewId="0" showGridLines="0" defaultGridColor="1"/>
  </sheetViews>
  <sheetFormatPr defaultColWidth="10.8333" defaultRowHeight="14.4" customHeight="1" outlineLevelRow="0" outlineLevelCol="0"/>
  <cols>
    <col min="1" max="1" width="10.8516" style="281" customWidth="1"/>
    <col min="2" max="2" width="26" style="281" customWidth="1"/>
    <col min="3" max="3" width="18.6719" style="281" customWidth="1"/>
    <col min="4" max="5" width="10.8516" style="281" customWidth="1"/>
    <col min="6" max="6" width="12.5" style="281" customWidth="1"/>
    <col min="7" max="7" width="10.8516" style="281" customWidth="1"/>
    <col min="8" max="8" width="33.6719" style="281" customWidth="1"/>
    <col min="9" max="16384" width="10.8516" style="281" customWidth="1"/>
  </cols>
  <sheetData>
    <row r="1" ht="16" customHeight="1">
      <c r="A1" s="2"/>
      <c r="B1" s="3"/>
      <c r="C1" s="3"/>
      <c r="D1" s="3"/>
      <c r="E1" s="3"/>
      <c r="F1" s="3"/>
      <c r="G1" s="3"/>
      <c r="H1" s="4"/>
    </row>
    <row r="2" ht="16" customHeight="1">
      <c r="A2" s="5"/>
      <c r="B2" t="s" s="282">
        <v>154</v>
      </c>
      <c r="C2" t="s" s="283">
        <v>155</v>
      </c>
      <c r="D2" t="s" s="283">
        <v>156</v>
      </c>
      <c r="E2" t="s" s="283">
        <v>157</v>
      </c>
      <c r="F2" t="s" s="283">
        <v>158</v>
      </c>
      <c r="G2" s="284"/>
      <c r="H2" t="s" s="285">
        <v>159</v>
      </c>
    </row>
    <row r="3" ht="16" customHeight="1">
      <c r="A3" s="5"/>
      <c r="B3" t="s" s="286">
        <v>132</v>
      </c>
      <c r="C3" s="287"/>
      <c r="D3" s="287"/>
      <c r="E3" s="287"/>
      <c r="F3" s="287"/>
      <c r="G3" s="288"/>
      <c r="H3" s="289"/>
    </row>
    <row r="4" ht="16" customHeight="1">
      <c r="A4" s="5"/>
      <c r="B4" t="s" s="290">
        <v>134</v>
      </c>
      <c r="C4" t="s" s="291">
        <v>160</v>
      </c>
      <c r="D4" t="s" s="291">
        <v>161</v>
      </c>
      <c r="E4" t="s" s="291">
        <v>162</v>
      </c>
      <c r="F4" t="s" s="291">
        <v>163</v>
      </c>
      <c r="G4" s="6"/>
      <c r="H4" t="s" s="292">
        <v>164</v>
      </c>
    </row>
    <row r="5" ht="16" customHeight="1">
      <c r="A5" s="5"/>
      <c r="B5" t="s" s="290">
        <v>165</v>
      </c>
      <c r="C5" t="s" s="291">
        <v>166</v>
      </c>
      <c r="D5" t="s" s="291">
        <v>167</v>
      </c>
      <c r="E5" t="s" s="291">
        <v>168</v>
      </c>
      <c r="F5" t="s" s="291">
        <v>169</v>
      </c>
      <c r="G5" s="6"/>
      <c r="H5" t="s" s="292">
        <v>170</v>
      </c>
    </row>
    <row r="6" ht="16" customHeight="1">
      <c r="A6" s="5"/>
      <c r="B6" s="284"/>
      <c r="C6" s="293"/>
      <c r="D6" s="293"/>
      <c r="E6" s="293"/>
      <c r="F6" s="293"/>
      <c r="G6" s="284"/>
      <c r="H6" s="294"/>
    </row>
    <row r="7" ht="16" customHeight="1">
      <c r="A7" s="5"/>
      <c r="B7" t="s" s="295">
        <v>171</v>
      </c>
      <c r="C7" s="296"/>
      <c r="D7" s="296"/>
      <c r="E7" s="296"/>
      <c r="F7" s="296"/>
      <c r="G7" s="288"/>
      <c r="H7" s="289"/>
    </row>
    <row r="8" ht="16" customHeight="1">
      <c r="A8" s="5"/>
      <c r="B8" t="s" s="290">
        <v>172</v>
      </c>
      <c r="C8" t="s" s="291">
        <v>173</v>
      </c>
      <c r="D8" t="s" s="291">
        <v>174</v>
      </c>
      <c r="E8" t="s" s="291">
        <v>175</v>
      </c>
      <c r="F8" t="s" s="291">
        <v>169</v>
      </c>
      <c r="G8" s="6"/>
      <c r="H8" t="s" s="297">
        <v>176</v>
      </c>
    </row>
    <row r="9" ht="16" customHeight="1">
      <c r="A9" s="5"/>
      <c r="B9" t="s" s="290">
        <v>177</v>
      </c>
      <c r="C9" t="s" s="291">
        <v>178</v>
      </c>
      <c r="D9" t="s" s="291">
        <v>179</v>
      </c>
      <c r="E9" t="s" s="291">
        <v>180</v>
      </c>
      <c r="F9" t="s" s="291">
        <v>181</v>
      </c>
      <c r="G9" s="6"/>
      <c r="H9" t="s" s="292">
        <v>182</v>
      </c>
    </row>
    <row r="10" ht="16" customHeight="1">
      <c r="A10" s="5"/>
      <c r="B10" s="298"/>
      <c r="C10" s="299"/>
      <c r="D10" s="299"/>
      <c r="E10" s="299"/>
      <c r="F10" s="299"/>
      <c r="G10" s="284"/>
      <c r="H10" s="294"/>
    </row>
    <row r="11" ht="16" customHeight="1">
      <c r="A11" s="5"/>
      <c r="B11" t="s" s="300">
        <v>183</v>
      </c>
      <c r="C11" s="296"/>
      <c r="D11" s="296"/>
      <c r="E11" s="296"/>
      <c r="F11" s="296"/>
      <c r="G11" s="288"/>
      <c r="H11" s="289"/>
    </row>
    <row r="12" ht="16" customHeight="1">
      <c r="A12" s="5"/>
      <c r="B12" t="s" s="290">
        <v>184</v>
      </c>
      <c r="C12" t="s" s="291">
        <v>185</v>
      </c>
      <c r="D12" t="s" s="291">
        <v>186</v>
      </c>
      <c r="E12" t="s" s="291">
        <v>187</v>
      </c>
      <c r="F12" t="s" s="291">
        <v>188</v>
      </c>
      <c r="G12" s="6"/>
      <c r="H12" t="s" s="297">
        <v>184</v>
      </c>
    </row>
    <row r="13" ht="16" customHeight="1">
      <c r="A13" s="5"/>
      <c r="B13" t="s" s="290">
        <v>189</v>
      </c>
      <c r="C13" t="s" s="291">
        <v>162</v>
      </c>
      <c r="D13" t="s" s="291">
        <v>190</v>
      </c>
      <c r="E13" t="s" s="291">
        <v>191</v>
      </c>
      <c r="F13" t="s" s="291">
        <v>192</v>
      </c>
      <c r="G13" s="6"/>
      <c r="H13" t="s" s="297">
        <v>193</v>
      </c>
    </row>
    <row r="14" ht="16" customHeight="1">
      <c r="A14" s="5"/>
      <c r="B14" s="284"/>
      <c r="C14" s="293"/>
      <c r="D14" s="293"/>
      <c r="E14" s="293"/>
      <c r="F14" s="293"/>
      <c r="G14" s="284"/>
      <c r="H14" s="294"/>
    </row>
    <row r="15" ht="16" customHeight="1">
      <c r="A15" s="5"/>
      <c r="B15" t="s" s="300">
        <v>194</v>
      </c>
      <c r="C15" s="296"/>
      <c r="D15" s="296"/>
      <c r="E15" s="296"/>
      <c r="F15" s="296"/>
      <c r="G15" s="288"/>
      <c r="H15" s="289"/>
    </row>
    <row r="16" ht="16" customHeight="1">
      <c r="A16" s="5"/>
      <c r="B16" t="s" s="290">
        <v>143</v>
      </c>
      <c r="C16" t="s" s="291">
        <v>195</v>
      </c>
      <c r="D16" t="s" s="291">
        <v>196</v>
      </c>
      <c r="E16" t="s" s="291">
        <v>197</v>
      </c>
      <c r="F16" t="s" s="291">
        <v>198</v>
      </c>
      <c r="G16" s="6"/>
      <c r="H16" t="s" s="297">
        <v>199</v>
      </c>
    </row>
    <row r="17" ht="16" customHeight="1">
      <c r="A17" s="5"/>
      <c r="B17" t="s" s="290">
        <v>200</v>
      </c>
      <c r="C17" t="s" s="291">
        <v>201</v>
      </c>
      <c r="D17" t="s" s="291">
        <v>202</v>
      </c>
      <c r="E17" t="s" s="291">
        <v>203</v>
      </c>
      <c r="F17" t="s" s="291">
        <v>204</v>
      </c>
      <c r="G17" s="6"/>
      <c r="H17" t="s" s="297">
        <v>205</v>
      </c>
    </row>
    <row r="18" ht="16" customHeight="1">
      <c r="A18" s="5"/>
      <c r="B18" t="s" s="290">
        <v>145</v>
      </c>
      <c r="C18" t="s" s="291">
        <v>206</v>
      </c>
      <c r="D18" t="s" s="291">
        <v>207</v>
      </c>
      <c r="E18" t="s" s="291">
        <v>208</v>
      </c>
      <c r="F18" t="s" s="291">
        <v>209</v>
      </c>
      <c r="G18" s="6"/>
      <c r="H18" t="s" s="297">
        <v>145</v>
      </c>
    </row>
    <row r="19" ht="16" customHeight="1">
      <c r="A19" s="5"/>
      <c r="B19" s="284"/>
      <c r="C19" s="293"/>
      <c r="D19" s="293"/>
      <c r="E19" s="293"/>
      <c r="F19" s="293"/>
      <c r="G19" s="284"/>
      <c r="H19" s="294"/>
    </row>
    <row r="20" ht="16" customHeight="1">
      <c r="A20" s="5"/>
      <c r="B20" t="s" s="300">
        <v>146</v>
      </c>
      <c r="C20" s="296"/>
      <c r="D20" s="296"/>
      <c r="E20" s="296"/>
      <c r="F20" s="296"/>
      <c r="G20" s="288"/>
      <c r="H20" s="289"/>
    </row>
    <row r="21" ht="16" customHeight="1">
      <c r="A21" s="5"/>
      <c r="B21" t="s" s="290">
        <v>210</v>
      </c>
      <c r="C21" t="s" s="291">
        <v>211</v>
      </c>
      <c r="D21" t="s" s="291">
        <v>212</v>
      </c>
      <c r="E21" t="s" s="291">
        <v>213</v>
      </c>
      <c r="F21" t="s" s="291">
        <v>214</v>
      </c>
      <c r="G21" s="6"/>
      <c r="H21" t="s" s="297">
        <v>215</v>
      </c>
    </row>
    <row r="22" ht="16" customHeight="1">
      <c r="A22" s="5"/>
      <c r="B22" t="s" s="290">
        <v>216</v>
      </c>
      <c r="C22" t="s" s="291">
        <v>217</v>
      </c>
      <c r="D22" t="s" s="291">
        <v>218</v>
      </c>
      <c r="E22" t="s" s="291">
        <v>219</v>
      </c>
      <c r="F22" t="s" s="291">
        <v>220</v>
      </c>
      <c r="G22" s="6"/>
      <c r="H22" t="s" s="297">
        <v>221</v>
      </c>
    </row>
    <row r="23" ht="16" customHeight="1">
      <c r="A23" s="5"/>
      <c r="B23" t="s" s="290">
        <v>8</v>
      </c>
      <c r="C23" t="s" s="291">
        <v>222</v>
      </c>
      <c r="D23" t="s" s="291">
        <v>223</v>
      </c>
      <c r="E23" t="s" s="291">
        <v>224</v>
      </c>
      <c r="F23" t="s" s="291">
        <v>225</v>
      </c>
      <c r="G23" s="6"/>
      <c r="H23" t="s" s="297">
        <v>226</v>
      </c>
    </row>
    <row r="24" ht="16" customHeight="1">
      <c r="A24" s="5"/>
      <c r="B24" t="s" s="290">
        <v>227</v>
      </c>
      <c r="C24" t="s" s="291">
        <v>228</v>
      </c>
      <c r="D24" t="s" s="291">
        <v>229</v>
      </c>
      <c r="E24" t="s" s="291">
        <v>230</v>
      </c>
      <c r="F24" t="s" s="291">
        <v>231</v>
      </c>
      <c r="G24" s="6"/>
      <c r="H24" t="s" s="297">
        <v>232</v>
      </c>
    </row>
    <row r="25" ht="16" customHeight="1">
      <c r="A25" s="25"/>
      <c r="B25" s="284"/>
      <c r="C25" s="293"/>
      <c r="D25" s="293"/>
      <c r="E25" s="293"/>
      <c r="F25" s="293"/>
      <c r="G25" s="284"/>
      <c r="H25" s="29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Q77"/>
  <sheetViews>
    <sheetView workbookViewId="0" showGridLines="0" defaultGridColor="1"/>
  </sheetViews>
  <sheetFormatPr defaultColWidth="10.8333" defaultRowHeight="14.4" customHeight="1" outlineLevelRow="0" outlineLevelCol="0"/>
  <cols>
    <col min="1" max="1" width="4.35156" style="301" customWidth="1"/>
    <col min="2" max="2" width="3.85156" style="301" customWidth="1"/>
    <col min="3" max="5" width="10.8516" style="301" customWidth="1"/>
    <col min="6" max="6" width="13.1719" style="301" customWidth="1"/>
    <col min="7" max="7" width="10.8516" style="301" customWidth="1"/>
    <col min="8" max="8" width="11.5" style="301" customWidth="1"/>
    <col min="9" max="9" width="15" style="301" customWidth="1"/>
    <col min="10" max="10" width="7.85156" style="301" customWidth="1"/>
    <col min="11" max="16" width="10.8516" style="301" customWidth="1"/>
    <col min="17" max="17" width="3.85156" style="301" customWidth="1"/>
    <col min="18" max="16384" width="10.8516" style="301" customWidth="1"/>
  </cols>
  <sheetData>
    <row r="1" ht="16" customHeight="1">
      <c r="A1" s="2"/>
      <c r="B1" s="3"/>
      <c r="C1" s="3"/>
      <c r="D1" s="3"/>
      <c r="E1" s="3"/>
      <c r="F1" s="3"/>
      <c r="G1" s="3"/>
      <c r="H1" s="31"/>
      <c r="I1" s="3"/>
      <c r="J1" s="3"/>
      <c r="K1" s="3"/>
      <c r="L1" s="3"/>
      <c r="M1" s="3"/>
      <c r="N1" s="3"/>
      <c r="O1" s="3"/>
      <c r="P1" s="3"/>
      <c r="Q1" s="4"/>
    </row>
    <row r="2" ht="16" customHeight="1">
      <c r="A2" s="5"/>
      <c r="B2" s="6"/>
      <c r="C2" s="284"/>
      <c r="D2" s="284"/>
      <c r="E2" s="284"/>
      <c r="F2" s="284"/>
      <c r="G2" s="6"/>
      <c r="H2" s="34"/>
      <c r="I2" s="6"/>
      <c r="J2" s="6"/>
      <c r="K2" s="6"/>
      <c r="L2" s="6"/>
      <c r="M2" s="6"/>
      <c r="N2" s="6"/>
      <c r="O2" s="6"/>
      <c r="P2" s="6"/>
      <c r="Q2" s="112"/>
    </row>
    <row r="3" ht="30" customHeight="1">
      <c r="A3" s="5"/>
      <c r="B3" s="235"/>
      <c r="C3" t="s" s="302">
        <v>233</v>
      </c>
      <c r="D3" s="303"/>
      <c r="E3" s="303"/>
      <c r="F3" s="304" cm="1">
        <f t="array" ref="F3">'CRECIMIENTO'!D42</f>
      </c>
      <c r="G3" s="145"/>
      <c r="H3" s="34"/>
      <c r="I3" s="6"/>
      <c r="J3" s="6"/>
      <c r="K3" s="6"/>
      <c r="L3" s="6"/>
      <c r="M3" s="6"/>
      <c r="N3" s="6"/>
      <c r="O3" s="6"/>
      <c r="P3" s="6"/>
      <c r="Q3" s="112"/>
    </row>
    <row r="4" ht="30" customHeight="1">
      <c r="A4" s="5"/>
      <c r="B4" s="235"/>
      <c r="C4" s="303"/>
      <c r="D4" s="303"/>
      <c r="E4" s="303"/>
      <c r="F4" s="304" cm="1">
        <f t="array" ref="F4">'CRECIMIENTO'!D43</f>
      </c>
      <c r="G4" s="145"/>
      <c r="H4" s="34"/>
      <c r="I4" s="6"/>
      <c r="J4" s="6"/>
      <c r="K4" s="6"/>
      <c r="L4" s="6"/>
      <c r="M4" s="6"/>
      <c r="N4" s="6"/>
      <c r="O4" s="6"/>
      <c r="P4" s="6"/>
      <c r="Q4" s="112"/>
    </row>
    <row r="5" ht="16" customHeight="1">
      <c r="A5" s="5"/>
      <c r="B5" s="6"/>
      <c r="C5" s="305"/>
      <c r="D5" s="305"/>
      <c r="E5" s="288"/>
      <c r="F5" s="305"/>
      <c r="G5" s="284"/>
      <c r="H5" s="34"/>
      <c r="I5" s="284"/>
      <c r="J5" s="284"/>
      <c r="K5" s="6"/>
      <c r="L5" s="284"/>
      <c r="M5" s="284"/>
      <c r="N5" s="6"/>
      <c r="O5" s="284"/>
      <c r="P5" s="284"/>
      <c r="Q5" s="112"/>
    </row>
    <row r="6" ht="24" customHeight="1">
      <c r="A6" s="5"/>
      <c r="B6" s="235"/>
      <c r="C6" t="s" s="306">
        <v>132</v>
      </c>
      <c r="D6" s="277"/>
      <c r="E6" s="307"/>
      <c r="F6" t="s" s="306">
        <v>171</v>
      </c>
      <c r="G6" s="277"/>
      <c r="H6" s="308"/>
      <c r="I6" t="s" s="306">
        <v>183</v>
      </c>
      <c r="J6" s="277"/>
      <c r="K6" s="307"/>
      <c r="L6" t="s" s="306">
        <v>194</v>
      </c>
      <c r="M6" s="277"/>
      <c r="N6" s="307"/>
      <c r="O6" t="s" s="306">
        <v>234</v>
      </c>
      <c r="P6" s="277"/>
      <c r="Q6" s="309"/>
    </row>
    <row r="7" ht="24" customHeight="1">
      <c r="A7" s="5"/>
      <c r="B7" s="310"/>
      <c r="C7" s="311" cm="1">
        <f t="array" ref="C7">'CRECIMIENTO'!E6</f>
      </c>
      <c r="D7" s="311"/>
      <c r="E7" s="312"/>
      <c r="F7" s="311" cm="1">
        <f t="array" ref="F7">'CRECIMIENTO'!E7</f>
      </c>
      <c r="G7" s="311"/>
      <c r="H7" s="312"/>
      <c r="I7" s="311" cm="1">
        <f t="array" ref="I7">'CRECIMIENTO'!E8</f>
      </c>
      <c r="J7" s="311"/>
      <c r="K7" s="312"/>
      <c r="L7" s="311" cm="1">
        <f t="array" ref="L7">'CRECIMIENTO'!E9</f>
      </c>
      <c r="M7" s="311"/>
      <c r="N7" s="312"/>
      <c r="O7" s="311" cm="1">
        <f t="array" ref="O7">'CRECIMIENTO'!E10</f>
        <v>30</v>
      </c>
      <c r="P7" s="311"/>
      <c r="Q7" s="309"/>
    </row>
    <row r="8" ht="16" customHeight="1">
      <c r="A8" s="5"/>
      <c r="B8" s="6"/>
      <c r="C8" s="288"/>
      <c r="D8" s="288"/>
      <c r="E8" s="6"/>
      <c r="F8" s="288"/>
      <c r="G8" s="288"/>
      <c r="H8" s="34"/>
      <c r="I8" s="288"/>
      <c r="J8" s="288"/>
      <c r="K8" s="6"/>
      <c r="L8" s="288"/>
      <c r="M8" s="288"/>
      <c r="N8" s="6"/>
      <c r="O8" s="288"/>
      <c r="P8" s="288"/>
      <c r="Q8" s="112"/>
    </row>
    <row r="9" ht="16" customHeight="1">
      <c r="A9" s="5"/>
      <c r="B9" s="6"/>
      <c r="C9" s="6"/>
      <c r="D9" s="6"/>
      <c r="E9" s="6"/>
      <c r="F9" s="6"/>
      <c r="G9" s="6"/>
      <c r="H9" s="34"/>
      <c r="I9" s="6"/>
      <c r="J9" s="6"/>
      <c r="K9" s="6"/>
      <c r="L9" s="6"/>
      <c r="M9" s="6"/>
      <c r="N9" s="6"/>
      <c r="O9" s="6"/>
      <c r="P9" s="6"/>
      <c r="Q9" s="112"/>
    </row>
    <row r="10" ht="16" customHeight="1">
      <c r="A10" s="5"/>
      <c r="B10" s="6"/>
      <c r="C10" s="6"/>
      <c r="D10" s="6"/>
      <c r="E10" s="6"/>
      <c r="F10" s="6"/>
      <c r="G10" s="6"/>
      <c r="H10" s="34"/>
      <c r="I10" s="6"/>
      <c r="J10" s="6"/>
      <c r="K10" s="6"/>
      <c r="L10" s="6"/>
      <c r="M10" s="6"/>
      <c r="N10" s="6"/>
      <c r="O10" s="6"/>
      <c r="P10" s="6"/>
      <c r="Q10" s="112"/>
    </row>
    <row r="11" ht="16" customHeight="1">
      <c r="A11" s="5"/>
      <c r="B11" s="6"/>
      <c r="C11" s="6"/>
      <c r="D11" s="6"/>
      <c r="E11" s="6"/>
      <c r="F11" s="6"/>
      <c r="G11" s="6"/>
      <c r="H11" s="34"/>
      <c r="I11" s="6"/>
      <c r="J11" s="6"/>
      <c r="K11" s="6"/>
      <c r="L11" s="6"/>
      <c r="M11" s="6"/>
      <c r="N11" s="6"/>
      <c r="O11" s="6"/>
      <c r="P11" s="6"/>
      <c r="Q11" s="112"/>
    </row>
    <row r="12" ht="16" customHeight="1">
      <c r="A12" s="5"/>
      <c r="B12" s="6"/>
      <c r="C12" s="6"/>
      <c r="D12" s="6"/>
      <c r="E12" s="6"/>
      <c r="F12" s="6"/>
      <c r="G12" s="6"/>
      <c r="H12" s="34"/>
      <c r="I12" s="6"/>
      <c r="J12" s="6"/>
      <c r="K12" s="6"/>
      <c r="L12" s="6"/>
      <c r="M12" s="6"/>
      <c r="N12" s="6"/>
      <c r="O12" s="6"/>
      <c r="P12" s="6"/>
      <c r="Q12" s="112"/>
    </row>
    <row r="13" ht="16" customHeight="1">
      <c r="A13" s="5"/>
      <c r="B13" s="6"/>
      <c r="C13" s="6"/>
      <c r="D13" s="6"/>
      <c r="E13" s="6"/>
      <c r="F13" s="6"/>
      <c r="G13" s="6"/>
      <c r="H13" s="34"/>
      <c r="I13" s="6"/>
      <c r="J13" s="6"/>
      <c r="K13" s="6"/>
      <c r="L13" s="6"/>
      <c r="M13" s="6"/>
      <c r="N13" s="6"/>
      <c r="O13" s="6"/>
      <c r="P13" s="6"/>
      <c r="Q13" s="112"/>
    </row>
    <row r="14" ht="16" customHeight="1">
      <c r="A14" s="5"/>
      <c r="B14" s="6"/>
      <c r="C14" s="6"/>
      <c r="D14" s="6"/>
      <c r="E14" s="6"/>
      <c r="F14" s="6"/>
      <c r="G14" s="6"/>
      <c r="H14" s="34"/>
      <c r="I14" s="6"/>
      <c r="J14" s="6"/>
      <c r="K14" s="6"/>
      <c r="L14" s="6"/>
      <c r="M14" s="6"/>
      <c r="N14" s="6"/>
      <c r="O14" s="6"/>
      <c r="P14" s="6"/>
      <c r="Q14" s="112"/>
    </row>
    <row r="15" ht="16" customHeight="1">
      <c r="A15" s="5"/>
      <c r="B15" s="6"/>
      <c r="C15" s="6"/>
      <c r="D15" s="6"/>
      <c r="E15" s="6"/>
      <c r="F15" s="6"/>
      <c r="G15" s="6"/>
      <c r="H15" s="34"/>
      <c r="I15" s="6"/>
      <c r="J15" s="6"/>
      <c r="K15" s="6"/>
      <c r="L15" s="6"/>
      <c r="M15" s="6"/>
      <c r="N15" s="6"/>
      <c r="O15" s="6"/>
      <c r="P15" s="6"/>
      <c r="Q15" s="112"/>
    </row>
    <row r="16" ht="16" customHeight="1">
      <c r="A16" s="5"/>
      <c r="B16" s="6"/>
      <c r="C16" s="6"/>
      <c r="D16" s="6"/>
      <c r="E16" s="6"/>
      <c r="F16" s="6"/>
      <c r="G16" s="6"/>
      <c r="H16" s="34"/>
      <c r="I16" s="6"/>
      <c r="J16" s="6"/>
      <c r="K16" s="6"/>
      <c r="L16" s="6"/>
      <c r="M16" s="6"/>
      <c r="N16" s="6"/>
      <c r="O16" s="6"/>
      <c r="P16" s="6"/>
      <c r="Q16" s="112"/>
    </row>
    <row r="17" ht="16" customHeight="1">
      <c r="A17" s="5"/>
      <c r="B17" s="6"/>
      <c r="C17" s="6"/>
      <c r="D17" s="6"/>
      <c r="E17" s="6"/>
      <c r="F17" s="6"/>
      <c r="G17" s="6"/>
      <c r="H17" s="34"/>
      <c r="I17" s="6"/>
      <c r="J17" s="6"/>
      <c r="K17" s="6"/>
      <c r="L17" s="6"/>
      <c r="M17" s="6"/>
      <c r="N17" s="6"/>
      <c r="O17" s="6"/>
      <c r="P17" s="6"/>
      <c r="Q17" s="112"/>
    </row>
    <row r="18" ht="16" customHeight="1">
      <c r="A18" s="5"/>
      <c r="B18" s="6"/>
      <c r="C18" s="6"/>
      <c r="D18" s="6"/>
      <c r="E18" s="6"/>
      <c r="F18" s="6"/>
      <c r="G18" s="6"/>
      <c r="H18" s="34"/>
      <c r="I18" s="6"/>
      <c r="J18" s="6"/>
      <c r="K18" s="6"/>
      <c r="L18" s="6"/>
      <c r="M18" s="6"/>
      <c r="N18" s="6"/>
      <c r="O18" s="6"/>
      <c r="P18" s="6"/>
      <c r="Q18" s="112"/>
    </row>
    <row r="19" ht="16" customHeight="1">
      <c r="A19" s="5"/>
      <c r="B19" s="6"/>
      <c r="C19" s="6"/>
      <c r="D19" s="6"/>
      <c r="E19" s="6"/>
      <c r="F19" s="6"/>
      <c r="G19" s="6"/>
      <c r="H19" s="34"/>
      <c r="I19" s="6"/>
      <c r="J19" s="6"/>
      <c r="K19" s="6"/>
      <c r="L19" s="6"/>
      <c r="M19" s="6"/>
      <c r="N19" s="6"/>
      <c r="O19" s="6"/>
      <c r="P19" s="6"/>
      <c r="Q19" s="112"/>
    </row>
    <row r="20" ht="16" customHeight="1">
      <c r="A20" s="5"/>
      <c r="B20" s="6"/>
      <c r="C20" s="6"/>
      <c r="D20" s="6"/>
      <c r="E20" s="6"/>
      <c r="F20" s="6"/>
      <c r="G20" s="6"/>
      <c r="H20" s="34"/>
      <c r="I20" s="6"/>
      <c r="J20" s="6"/>
      <c r="K20" s="6"/>
      <c r="L20" s="6"/>
      <c r="M20" s="6"/>
      <c r="N20" s="6"/>
      <c r="O20" s="6"/>
      <c r="P20" s="6"/>
      <c r="Q20" s="112"/>
    </row>
    <row r="21" ht="16" customHeight="1">
      <c r="A21" s="5"/>
      <c r="B21" s="6"/>
      <c r="C21" s="6"/>
      <c r="D21" s="6"/>
      <c r="E21" s="6"/>
      <c r="F21" s="6"/>
      <c r="G21" s="6"/>
      <c r="H21" s="34"/>
      <c r="I21" s="6"/>
      <c r="J21" s="6"/>
      <c r="K21" s="6"/>
      <c r="L21" s="6"/>
      <c r="M21" s="6"/>
      <c r="N21" s="6"/>
      <c r="O21" s="6"/>
      <c r="P21" s="6"/>
      <c r="Q21" s="112"/>
    </row>
    <row r="22" ht="16" customHeight="1">
      <c r="A22" s="5"/>
      <c r="B22" s="6"/>
      <c r="C22" s="6"/>
      <c r="D22" s="6"/>
      <c r="E22" s="6"/>
      <c r="F22" s="6"/>
      <c r="G22" s="6"/>
      <c r="H22" s="34"/>
      <c r="I22" s="6"/>
      <c r="J22" s="6"/>
      <c r="K22" s="6"/>
      <c r="L22" s="6"/>
      <c r="M22" s="6"/>
      <c r="N22" s="6"/>
      <c r="O22" s="6"/>
      <c r="P22" s="6"/>
      <c r="Q22" s="112"/>
    </row>
    <row r="23" ht="16" customHeight="1">
      <c r="A23" s="5"/>
      <c r="B23" s="6"/>
      <c r="C23" s="6"/>
      <c r="D23" s="6"/>
      <c r="E23" s="6"/>
      <c r="F23" s="6"/>
      <c r="G23" s="6"/>
      <c r="H23" s="34"/>
      <c r="I23" s="6"/>
      <c r="J23" s="6"/>
      <c r="K23" s="6"/>
      <c r="L23" s="6"/>
      <c r="M23" s="6"/>
      <c r="N23" s="6"/>
      <c r="O23" s="6"/>
      <c r="P23" s="6"/>
      <c r="Q23" s="112"/>
    </row>
    <row r="24" ht="16" customHeight="1">
      <c r="A24" s="5"/>
      <c r="B24" s="6"/>
      <c r="C24" s="6"/>
      <c r="D24" s="6"/>
      <c r="E24" s="6"/>
      <c r="F24" s="6"/>
      <c r="G24" s="6"/>
      <c r="H24" s="34"/>
      <c r="I24" s="6"/>
      <c r="J24" s="6"/>
      <c r="K24" s="6"/>
      <c r="L24" s="6"/>
      <c r="M24" s="6"/>
      <c r="N24" s="6"/>
      <c r="O24" s="6"/>
      <c r="P24" s="6"/>
      <c r="Q24" s="112"/>
    </row>
    <row r="25" ht="16" customHeight="1">
      <c r="A25" s="5"/>
      <c r="B25" s="6"/>
      <c r="C25" s="6"/>
      <c r="D25" s="6"/>
      <c r="E25" s="6"/>
      <c r="F25" s="6"/>
      <c r="G25" s="6"/>
      <c r="H25" s="34"/>
      <c r="I25" s="6"/>
      <c r="J25" s="6"/>
      <c r="K25" s="6"/>
      <c r="L25" s="6"/>
      <c r="M25" s="6"/>
      <c r="N25" s="6"/>
      <c r="O25" s="6"/>
      <c r="P25" s="6"/>
      <c r="Q25" s="112"/>
    </row>
    <row r="26" ht="16" customHeight="1">
      <c r="A26" s="5"/>
      <c r="B26" s="6"/>
      <c r="C26" s="6"/>
      <c r="D26" s="6"/>
      <c r="E26" s="6"/>
      <c r="F26" s="6"/>
      <c r="G26" s="6"/>
      <c r="H26" s="34"/>
      <c r="I26" s="6"/>
      <c r="J26" s="6"/>
      <c r="K26" s="6"/>
      <c r="L26" s="6"/>
      <c r="M26" s="6"/>
      <c r="N26" s="6"/>
      <c r="O26" s="6"/>
      <c r="P26" s="6"/>
      <c r="Q26" s="112"/>
    </row>
    <row r="27" ht="16" customHeight="1">
      <c r="A27" s="5"/>
      <c r="B27" s="6"/>
      <c r="C27" s="6"/>
      <c r="D27" s="6"/>
      <c r="E27" s="6"/>
      <c r="F27" s="6"/>
      <c r="G27" s="6"/>
      <c r="H27" s="34"/>
      <c r="I27" s="6"/>
      <c r="J27" s="6"/>
      <c r="K27" s="6"/>
      <c r="L27" s="6"/>
      <c r="M27" s="6"/>
      <c r="N27" s="6"/>
      <c r="O27" s="6"/>
      <c r="P27" s="6"/>
      <c r="Q27" s="112"/>
    </row>
    <row r="28" ht="16" customHeight="1">
      <c r="A28" s="5"/>
      <c r="B28" s="6"/>
      <c r="C28" s="6"/>
      <c r="D28" s="6"/>
      <c r="E28" s="6"/>
      <c r="F28" s="6"/>
      <c r="G28" s="6"/>
      <c r="H28" s="34"/>
      <c r="I28" s="6"/>
      <c r="J28" s="6"/>
      <c r="K28" s="6"/>
      <c r="L28" s="6"/>
      <c r="M28" s="6"/>
      <c r="N28" s="6"/>
      <c r="O28" s="6"/>
      <c r="P28" s="6"/>
      <c r="Q28" s="112"/>
    </row>
    <row r="29" ht="16" customHeight="1">
      <c r="A29" s="5"/>
      <c r="B29" s="6"/>
      <c r="C29" s="6"/>
      <c r="D29" s="6"/>
      <c r="E29" s="6"/>
      <c r="F29" s="6"/>
      <c r="G29" s="6"/>
      <c r="H29" s="34"/>
      <c r="I29" s="6"/>
      <c r="J29" s="6"/>
      <c r="K29" s="6"/>
      <c r="L29" s="6"/>
      <c r="M29" s="6"/>
      <c r="N29" s="6"/>
      <c r="O29" s="6"/>
      <c r="P29" s="6"/>
      <c r="Q29" s="112"/>
    </row>
    <row r="30" ht="16" customHeight="1">
      <c r="A30" s="5"/>
      <c r="B30" s="6"/>
      <c r="C30" s="6"/>
      <c r="D30" s="6"/>
      <c r="E30" s="6"/>
      <c r="F30" s="6"/>
      <c r="G30" s="6"/>
      <c r="H30" s="34"/>
      <c r="I30" s="6"/>
      <c r="J30" s="6"/>
      <c r="K30" s="6"/>
      <c r="L30" s="6"/>
      <c r="M30" s="6"/>
      <c r="N30" s="6"/>
      <c r="O30" s="6"/>
      <c r="P30" s="6"/>
      <c r="Q30" s="112"/>
    </row>
    <row r="31" ht="16" customHeight="1">
      <c r="A31" s="5"/>
      <c r="B31" s="6"/>
      <c r="C31" s="6"/>
      <c r="D31" s="6"/>
      <c r="E31" s="6"/>
      <c r="F31" s="6"/>
      <c r="G31" s="6"/>
      <c r="H31" s="34"/>
      <c r="I31" s="6"/>
      <c r="J31" s="6"/>
      <c r="K31" s="6"/>
      <c r="L31" s="6"/>
      <c r="M31" s="6"/>
      <c r="N31" s="6"/>
      <c r="O31" s="6"/>
      <c r="P31" s="6"/>
      <c r="Q31" s="112"/>
    </row>
    <row r="32" ht="16" customHeight="1">
      <c r="A32" s="5"/>
      <c r="B32" s="6"/>
      <c r="C32" s="6"/>
      <c r="D32" s="6"/>
      <c r="E32" s="6"/>
      <c r="F32" s="6"/>
      <c r="G32" s="6"/>
      <c r="H32" s="34"/>
      <c r="I32" s="6"/>
      <c r="J32" s="6"/>
      <c r="K32" s="6"/>
      <c r="L32" s="6"/>
      <c r="M32" s="6"/>
      <c r="N32" s="6"/>
      <c r="O32" s="6"/>
      <c r="P32" s="6"/>
      <c r="Q32" s="112"/>
    </row>
    <row r="33" ht="16" customHeight="1">
      <c r="A33" s="5"/>
      <c r="B33" s="6"/>
      <c r="C33" s="6"/>
      <c r="D33" s="6"/>
      <c r="E33" s="6"/>
      <c r="F33" s="6"/>
      <c r="G33" s="6"/>
      <c r="H33" s="34"/>
      <c r="I33" s="6"/>
      <c r="J33" s="6"/>
      <c r="K33" s="6"/>
      <c r="L33" s="6"/>
      <c r="M33" s="6"/>
      <c r="N33" s="6"/>
      <c r="O33" s="6"/>
      <c r="P33" s="6"/>
      <c r="Q33" s="112"/>
    </row>
    <row r="34" ht="16" customHeight="1">
      <c r="A34" s="5"/>
      <c r="B34" s="6"/>
      <c r="C34" s="6"/>
      <c r="D34" s="6"/>
      <c r="E34" s="6"/>
      <c r="F34" s="6"/>
      <c r="G34" s="6"/>
      <c r="H34" s="34"/>
      <c r="I34" s="6"/>
      <c r="J34" s="6"/>
      <c r="K34" s="6"/>
      <c r="L34" s="6"/>
      <c r="M34" s="6"/>
      <c r="N34" s="6"/>
      <c r="O34" s="6"/>
      <c r="P34" s="6"/>
      <c r="Q34" s="112"/>
    </row>
    <row r="35" ht="16" customHeight="1">
      <c r="A35" s="5"/>
      <c r="B35" s="6"/>
      <c r="C35" s="6"/>
      <c r="D35" s="6"/>
      <c r="E35" s="6"/>
      <c r="F35" s="6"/>
      <c r="G35" s="6"/>
      <c r="H35" s="34"/>
      <c r="I35" s="6"/>
      <c r="J35" s="6"/>
      <c r="K35" s="6"/>
      <c r="L35" s="6"/>
      <c r="M35" s="6"/>
      <c r="N35" s="6"/>
      <c r="O35" s="6"/>
      <c r="P35" s="6"/>
      <c r="Q35" s="112"/>
    </row>
    <row r="36" ht="16" customHeight="1">
      <c r="A36" s="5"/>
      <c r="B36" s="6"/>
      <c r="C36" s="6"/>
      <c r="D36" s="6"/>
      <c r="E36" s="6"/>
      <c r="F36" s="6"/>
      <c r="G36" s="6"/>
      <c r="H36" s="34"/>
      <c r="I36" s="6"/>
      <c r="J36" s="6"/>
      <c r="K36" s="6"/>
      <c r="L36" s="6"/>
      <c r="M36" s="6"/>
      <c r="N36" s="6"/>
      <c r="O36" s="6"/>
      <c r="P36" s="6"/>
      <c r="Q36" s="112"/>
    </row>
    <row r="37" ht="16" customHeight="1">
      <c r="A37" s="5"/>
      <c r="B37" s="6"/>
      <c r="C37" s="6"/>
      <c r="D37" s="6"/>
      <c r="E37" s="6"/>
      <c r="F37" s="6"/>
      <c r="G37" s="6"/>
      <c r="H37" s="34"/>
      <c r="I37" s="6"/>
      <c r="J37" s="6"/>
      <c r="K37" s="6"/>
      <c r="L37" s="6"/>
      <c r="M37" s="6"/>
      <c r="N37" s="6"/>
      <c r="O37" s="6"/>
      <c r="P37" s="6"/>
      <c r="Q37" s="112"/>
    </row>
    <row r="38" ht="16" customHeight="1">
      <c r="A38" s="5"/>
      <c r="B38" s="6"/>
      <c r="C38" s="6"/>
      <c r="D38" s="6"/>
      <c r="E38" s="6"/>
      <c r="F38" s="6"/>
      <c r="G38" s="6"/>
      <c r="H38" s="34"/>
      <c r="I38" s="6"/>
      <c r="J38" s="6"/>
      <c r="K38" s="6"/>
      <c r="L38" s="6"/>
      <c r="M38" s="6"/>
      <c r="N38" s="6"/>
      <c r="O38" s="6"/>
      <c r="P38" s="6"/>
      <c r="Q38" s="112"/>
    </row>
    <row r="39" ht="16" customHeight="1">
      <c r="A39" s="5"/>
      <c r="B39" s="6"/>
      <c r="C39" s="6"/>
      <c r="D39" s="6"/>
      <c r="E39" s="6"/>
      <c r="F39" s="6"/>
      <c r="G39" s="6"/>
      <c r="H39" s="34"/>
      <c r="I39" s="6"/>
      <c r="J39" s="6"/>
      <c r="K39" s="6"/>
      <c r="L39" s="6"/>
      <c r="M39" s="6"/>
      <c r="N39" s="6"/>
      <c r="O39" s="6"/>
      <c r="P39" s="6"/>
      <c r="Q39" s="112"/>
    </row>
    <row r="40" ht="16" customHeight="1">
      <c r="A40" s="5"/>
      <c r="B40" s="6"/>
      <c r="C40" s="6"/>
      <c r="D40" s="6"/>
      <c r="E40" s="6"/>
      <c r="F40" s="6"/>
      <c r="G40" s="6"/>
      <c r="H40" s="34"/>
      <c r="I40" s="6"/>
      <c r="J40" s="6"/>
      <c r="K40" s="6"/>
      <c r="L40" s="6"/>
      <c r="M40" s="6"/>
      <c r="N40" s="6"/>
      <c r="O40" s="6"/>
      <c r="P40" s="6"/>
      <c r="Q40" s="112"/>
    </row>
    <row r="41" ht="16" customHeight="1">
      <c r="A41" s="5"/>
      <c r="B41" s="6"/>
      <c r="C41" s="6"/>
      <c r="D41" s="6"/>
      <c r="E41" s="6"/>
      <c r="F41" s="6"/>
      <c r="G41" s="6"/>
      <c r="H41" s="34"/>
      <c r="I41" s="6"/>
      <c r="J41" s="6"/>
      <c r="K41" s="6"/>
      <c r="L41" s="6"/>
      <c r="M41" s="6"/>
      <c r="N41" s="6"/>
      <c r="O41" s="6"/>
      <c r="P41" s="6"/>
      <c r="Q41" s="112"/>
    </row>
    <row r="42" ht="16" customHeight="1">
      <c r="A42" s="5"/>
      <c r="B42" s="6"/>
      <c r="C42" s="6"/>
      <c r="D42" s="6"/>
      <c r="E42" s="6"/>
      <c r="F42" s="6"/>
      <c r="G42" s="6"/>
      <c r="H42" s="34"/>
      <c r="I42" s="6"/>
      <c r="J42" s="6"/>
      <c r="K42" s="6"/>
      <c r="L42" s="6"/>
      <c r="M42" s="6"/>
      <c r="N42" s="6"/>
      <c r="O42" s="6"/>
      <c r="P42" s="6"/>
      <c r="Q42" s="112"/>
    </row>
    <row r="43" ht="16" customHeight="1">
      <c r="A43" s="5"/>
      <c r="B43" s="6"/>
      <c r="C43" s="6"/>
      <c r="D43" s="6"/>
      <c r="E43" s="6"/>
      <c r="F43" s="6"/>
      <c r="G43" s="6"/>
      <c r="H43" s="34"/>
      <c r="I43" s="6"/>
      <c r="J43" s="6"/>
      <c r="K43" s="6"/>
      <c r="L43" s="6"/>
      <c r="M43" s="6"/>
      <c r="N43" s="6"/>
      <c r="O43" s="6"/>
      <c r="P43" s="6"/>
      <c r="Q43" s="112"/>
    </row>
    <row r="44" ht="15" customHeight="1">
      <c r="A44" s="5"/>
      <c r="B44" s="6"/>
      <c r="C44" s="7"/>
      <c r="D44" s="7"/>
      <c r="E44" s="7"/>
      <c r="F44" s="7"/>
      <c r="G44" s="7"/>
      <c r="H44" s="35"/>
      <c r="I44" s="7"/>
      <c r="J44" s="6"/>
      <c r="K44" s="6"/>
      <c r="L44" s="6"/>
      <c r="M44" s="6"/>
      <c r="N44" s="6"/>
      <c r="O44" s="6"/>
      <c r="P44" s="6"/>
      <c r="Q44" s="112"/>
    </row>
    <row r="45" ht="16.5" customHeight="1">
      <c r="A45" s="5"/>
      <c r="B45" s="9"/>
      <c r="C45" t="s" s="313">
        <v>235</v>
      </c>
      <c r="D45" s="177"/>
      <c r="E45" s="177"/>
      <c r="F45" t="s" s="314">
        <v>123</v>
      </c>
      <c r="G45" t="s" s="314">
        <v>133</v>
      </c>
      <c r="H45" t="s" s="314">
        <v>236</v>
      </c>
      <c r="I45" t="s" s="315">
        <v>237</v>
      </c>
      <c r="J45" s="117"/>
      <c r="K45" s="6"/>
      <c r="L45" s="6"/>
      <c r="M45" s="6"/>
      <c r="N45" s="6"/>
      <c r="O45" s="6"/>
      <c r="P45" s="6"/>
      <c r="Q45" s="112"/>
    </row>
    <row r="46" ht="16" customHeight="1">
      <c r="A46" s="5"/>
      <c r="B46" s="9"/>
      <c r="C46" t="s" s="316">
        <v>134</v>
      </c>
      <c r="D46" s="317"/>
      <c r="E46" s="317"/>
      <c r="F46" s="318" cm="1">
        <f t="array" ref="F46">'CRECIMIENTO'!D14</f>
        <v>0.5</v>
      </c>
      <c r="G46" s="319" cm="1">
        <f t="array" ref="G46">'CRECIMIENTO'!E14</f>
      </c>
      <c r="H46" s="320" cm="1">
        <f t="array" ref="H46">'CRECIMIENTO'!F14</f>
      </c>
      <c r="I46" s="321" cm="1">
        <f t="array" ref="I46">IF(H46=100,"Bueno",IF(H46=70,"Medio",IF(H46=50,"Malo",IF(H46=30,"Crítico",""))))</f>
      </c>
      <c r="J46" s="117"/>
      <c r="K46" s="6"/>
      <c r="L46" s="6"/>
      <c r="M46" s="6"/>
      <c r="N46" s="6"/>
      <c r="O46" s="6"/>
      <c r="P46" s="6"/>
      <c r="Q46" s="112"/>
    </row>
    <row r="47" ht="15" customHeight="1">
      <c r="A47" s="5"/>
      <c r="B47" s="9"/>
      <c r="C47" t="s" s="322">
        <v>135</v>
      </c>
      <c r="D47" s="323"/>
      <c r="E47" s="323"/>
      <c r="F47" s="324" cm="1">
        <f t="array" ref="F47">'CRECIMIENTO'!D15</f>
        <v>0.5</v>
      </c>
      <c r="G47" s="325" cm="1">
        <f t="array" ref="G47">'CRECIMIENTO'!E15</f>
      </c>
      <c r="H47" s="326" cm="1">
        <f t="array" ref="H47">'CRECIMIENTO'!F15</f>
      </c>
      <c r="I47" s="327" cm="1">
        <f t="array" ref="I47">IF(H47=100,"Bueno",IF(H47=70,"Medio",IF(H47=50,"Malo",IF(H47=30,"Crítico",""))))</f>
      </c>
      <c r="J47" s="117"/>
      <c r="K47" s="6"/>
      <c r="L47" s="6"/>
      <c r="M47" s="6"/>
      <c r="N47" s="6"/>
      <c r="O47" s="6"/>
      <c r="P47" s="6"/>
      <c r="Q47" s="112"/>
    </row>
    <row r="48" ht="15" customHeight="1">
      <c r="A48" s="5"/>
      <c r="B48" s="6"/>
      <c r="C48" s="328"/>
      <c r="D48" s="328"/>
      <c r="E48" s="328"/>
      <c r="F48" s="329"/>
      <c r="G48" s="329"/>
      <c r="H48" s="330"/>
      <c r="I48" s="329"/>
      <c r="J48" s="6"/>
      <c r="K48" s="6"/>
      <c r="L48" s="6"/>
      <c r="M48" s="6"/>
      <c r="N48" s="6"/>
      <c r="O48" s="6"/>
      <c r="P48" s="6"/>
      <c r="Q48" s="112"/>
    </row>
    <row r="49" ht="16.5" customHeight="1">
      <c r="A49" s="5"/>
      <c r="B49" s="9"/>
      <c r="C49" t="s" s="313">
        <v>238</v>
      </c>
      <c r="D49" s="331"/>
      <c r="E49" s="331"/>
      <c r="F49" t="s" s="314">
        <v>123</v>
      </c>
      <c r="G49" t="s" s="314">
        <v>133</v>
      </c>
      <c r="H49" t="s" s="314">
        <v>236</v>
      </c>
      <c r="I49" t="s" s="315">
        <v>237</v>
      </c>
      <c r="J49" s="117"/>
      <c r="K49" s="6"/>
      <c r="L49" s="6"/>
      <c r="M49" s="6"/>
      <c r="N49" s="6"/>
      <c r="O49" s="6"/>
      <c r="P49" s="6"/>
      <c r="Q49" s="112"/>
    </row>
    <row r="50" ht="16" customHeight="1">
      <c r="A50" s="5"/>
      <c r="B50" s="9"/>
      <c r="C50" t="s" s="316">
        <v>137</v>
      </c>
      <c r="D50" s="317"/>
      <c r="E50" s="317"/>
      <c r="F50" s="318" cm="1">
        <f t="array" ref="F50">'CRECIMIENTO'!D19</f>
        <v>0.5</v>
      </c>
      <c r="G50" s="318" cm="1">
        <f t="array" ref="G50">'CRECIMIENTO'!E19</f>
      </c>
      <c r="H50" s="320" cm="1">
        <f t="array" ref="H50">'CRECIMIENTO'!F19</f>
      </c>
      <c r="I50" s="321" cm="1">
        <f t="array" ref="I50">IF(H50=100,"Bueno",IF(H50=70,"Medio",IF(H50=50,"Malo",IF(H50=30,"Crítico",""))))</f>
      </c>
      <c r="J50" s="117"/>
      <c r="K50" s="6"/>
      <c r="L50" s="6"/>
      <c r="M50" s="6"/>
      <c r="N50" s="6"/>
      <c r="O50" s="6"/>
      <c r="P50" s="6"/>
      <c r="Q50" s="112"/>
    </row>
    <row r="51" ht="15" customHeight="1">
      <c r="A51" s="5"/>
      <c r="B51" s="9"/>
      <c r="C51" t="s" s="322">
        <v>239</v>
      </c>
      <c r="D51" s="323"/>
      <c r="E51" s="323"/>
      <c r="F51" s="324" cm="1">
        <f t="array" ref="F51">'CRECIMIENTO'!D20</f>
        <v>0.5</v>
      </c>
      <c r="G51" s="324" cm="1">
        <f t="array" ref="G51">'CRECIMIENTO'!E20</f>
      </c>
      <c r="H51" s="326" cm="1">
        <f t="array" ref="H51">'CRECIMIENTO'!F20</f>
      </c>
      <c r="I51" s="327" cm="1">
        <f t="array" ref="I51">IF(H51=100,"Bueno",IF(H51=70,"Medio",IF(H51=50,"Malo",IF(H51=30,"Crítico",""))))</f>
      </c>
      <c r="J51" s="117"/>
      <c r="K51" s="6"/>
      <c r="L51" s="6"/>
      <c r="M51" s="6"/>
      <c r="N51" s="6"/>
      <c r="O51" s="6"/>
      <c r="P51" s="6"/>
      <c r="Q51" s="112"/>
    </row>
    <row r="52" ht="15" customHeight="1">
      <c r="A52" s="5"/>
      <c r="B52" s="6"/>
      <c r="C52" s="328"/>
      <c r="D52" s="328"/>
      <c r="E52" s="328"/>
      <c r="F52" s="329"/>
      <c r="G52" s="329"/>
      <c r="H52" s="330"/>
      <c r="I52" s="329"/>
      <c r="J52" s="6"/>
      <c r="K52" s="6"/>
      <c r="L52" s="6"/>
      <c r="M52" s="6"/>
      <c r="N52" s="6"/>
      <c r="O52" s="6"/>
      <c r="P52" s="6"/>
      <c r="Q52" s="112"/>
    </row>
    <row r="53" ht="16.5" customHeight="1">
      <c r="A53" s="5"/>
      <c r="B53" s="9"/>
      <c r="C53" t="s" s="313">
        <v>240</v>
      </c>
      <c r="D53" s="331"/>
      <c r="E53" s="331"/>
      <c r="F53" t="s" s="314">
        <v>123</v>
      </c>
      <c r="G53" t="s" s="314">
        <v>133</v>
      </c>
      <c r="H53" t="s" s="314">
        <v>236</v>
      </c>
      <c r="I53" t="s" s="315">
        <v>237</v>
      </c>
      <c r="J53" s="117"/>
      <c r="K53" s="6"/>
      <c r="L53" s="6"/>
      <c r="M53" s="6"/>
      <c r="N53" s="6"/>
      <c r="O53" s="6"/>
      <c r="P53" s="6"/>
      <c r="Q53" s="112"/>
    </row>
    <row r="54" ht="16" customHeight="1">
      <c r="A54" s="5"/>
      <c r="B54" s="9"/>
      <c r="C54" t="s" s="316">
        <v>241</v>
      </c>
      <c r="D54" s="317"/>
      <c r="E54" s="317"/>
      <c r="F54" s="318" cm="1">
        <f t="array" ref="F54">'CRECIMIENTO'!D24</f>
        <v>0.5</v>
      </c>
      <c r="G54" s="318" cm="1">
        <f t="array" ref="G54">'CRECIMIENTO'!E24</f>
      </c>
      <c r="H54" s="320" cm="1">
        <f t="array" ref="H54">'CRECIMIENTO'!F24</f>
      </c>
      <c r="I54" s="321" cm="1">
        <f t="array" ref="I54">IF(H54=100,"Bueno",IF(H54=70,"Medio",IF(H54=50,"Malo",IF(H54=30,"Crítico",""))))</f>
      </c>
      <c r="J54" s="117"/>
      <c r="K54" s="6"/>
      <c r="L54" s="6"/>
      <c r="M54" s="6"/>
      <c r="N54" s="6"/>
      <c r="O54" s="6"/>
      <c r="P54" s="6"/>
      <c r="Q54" s="112"/>
    </row>
    <row r="55" ht="15" customHeight="1">
      <c r="A55" s="5"/>
      <c r="B55" s="9"/>
      <c r="C55" t="s" s="322">
        <v>242</v>
      </c>
      <c r="D55" s="323"/>
      <c r="E55" s="323"/>
      <c r="F55" s="324" cm="1">
        <f t="array" ref="F55">'CRECIMIENTO'!D25</f>
        <v>0.5</v>
      </c>
      <c r="G55" s="324" cm="1">
        <f t="array" ref="G55">'CRECIMIENTO'!E25</f>
      </c>
      <c r="H55" s="326" cm="1">
        <f t="array" ref="H55">'CRECIMIENTO'!F25</f>
      </c>
      <c r="I55" s="327" cm="1">
        <f t="array" ref="I55">IF(H55=100,"Bueno",IF(H55=70,"Medio",IF(H55=50,"Malo",IF(H55=30,"Crítico",""))))</f>
      </c>
      <c r="J55" s="117"/>
      <c r="K55" s="6"/>
      <c r="L55" s="6"/>
      <c r="M55" s="6"/>
      <c r="N55" s="6"/>
      <c r="O55" s="6"/>
      <c r="P55" s="6"/>
      <c r="Q55" s="112"/>
    </row>
    <row r="56" ht="15" customHeight="1">
      <c r="A56" s="5"/>
      <c r="B56" s="6"/>
      <c r="C56" s="328"/>
      <c r="D56" s="328"/>
      <c r="E56" s="328"/>
      <c r="F56" s="329"/>
      <c r="G56" s="329"/>
      <c r="H56" s="330"/>
      <c r="I56" s="329"/>
      <c r="J56" s="6"/>
      <c r="K56" s="6"/>
      <c r="L56" s="6"/>
      <c r="M56" s="6"/>
      <c r="N56" s="6"/>
      <c r="O56" s="6"/>
      <c r="P56" s="6"/>
      <c r="Q56" s="112"/>
    </row>
    <row r="57" ht="16.5" customHeight="1">
      <c r="A57" s="5"/>
      <c r="B57" s="9"/>
      <c r="C57" t="s" s="313">
        <v>142</v>
      </c>
      <c r="D57" s="331"/>
      <c r="E57" s="331"/>
      <c r="F57" t="s" s="314">
        <v>123</v>
      </c>
      <c r="G57" t="s" s="314">
        <v>133</v>
      </c>
      <c r="H57" t="s" s="314">
        <v>236</v>
      </c>
      <c r="I57" t="s" s="315">
        <v>237</v>
      </c>
      <c r="J57" s="117"/>
      <c r="K57" s="6"/>
      <c r="L57" s="6"/>
      <c r="M57" s="6"/>
      <c r="N57" s="6"/>
      <c r="O57" s="6"/>
      <c r="P57" s="6"/>
      <c r="Q57" s="112"/>
    </row>
    <row r="58" ht="16" customHeight="1">
      <c r="A58" s="5"/>
      <c r="B58" s="9"/>
      <c r="C58" t="s" s="316">
        <v>143</v>
      </c>
      <c r="D58" s="317"/>
      <c r="E58" s="317"/>
      <c r="F58" s="318" cm="1">
        <f t="array" ref="F58">'CRECIMIENTO'!D29</f>
        <v>0.5</v>
      </c>
      <c r="G58" s="332" cm="1">
        <f t="array" ref="G58">'CRECIMIENTO'!E29</f>
      </c>
      <c r="H58" s="320" cm="1">
        <f t="array" ref="H58">'CRECIMIENTO'!F29</f>
      </c>
      <c r="I58" s="321" cm="1">
        <f t="array" ref="I58">IF(H58=100,"Bueno",IF(H58=70,"Medio",IF(H58=50,"Malo",IF(H58=30,"Crítico",""))))</f>
      </c>
      <c r="J58" s="117"/>
      <c r="K58" s="6"/>
      <c r="L58" s="6"/>
      <c r="M58" s="6"/>
      <c r="N58" s="6"/>
      <c r="O58" s="6"/>
      <c r="P58" s="6"/>
      <c r="Q58" s="112"/>
    </row>
    <row r="59" ht="16" customHeight="1">
      <c r="A59" s="5"/>
      <c r="B59" s="9"/>
      <c r="C59" t="s" s="316">
        <v>144</v>
      </c>
      <c r="D59" s="317"/>
      <c r="E59" s="317"/>
      <c r="F59" s="318" cm="1">
        <f t="array" ref="F59">'CRECIMIENTO'!D30</f>
        <v>0.3</v>
      </c>
      <c r="G59" s="332" cm="1">
        <f t="array" ref="G59">'CRECIMIENTO'!E30</f>
      </c>
      <c r="H59" s="320" cm="1">
        <f t="array" ref="H59">'CRECIMIENTO'!F30</f>
      </c>
      <c r="I59" s="321" cm="1">
        <f t="array" ref="I59">IF(H59=100,"Bueno",IF(H59=70,"Medio",IF(H59=50,"Malo",IF(H59=30,"Crítico",""))))</f>
      </c>
      <c r="J59" s="117"/>
      <c r="K59" s="6"/>
      <c r="L59" s="6"/>
      <c r="M59" s="6"/>
      <c r="N59" s="6"/>
      <c r="O59" s="6"/>
      <c r="P59" s="6"/>
      <c r="Q59" s="112"/>
    </row>
    <row r="60" ht="15" customHeight="1">
      <c r="A60" s="5"/>
      <c r="B60" s="9"/>
      <c r="C60" t="s" s="322">
        <v>145</v>
      </c>
      <c r="D60" s="323"/>
      <c r="E60" s="323"/>
      <c r="F60" s="324" cm="1">
        <f t="array" ref="F60">'CRECIMIENTO'!D31</f>
        <v>0.2</v>
      </c>
      <c r="G60" s="333" cm="1">
        <f t="array" ref="G60">'CRECIMIENTO'!E31</f>
      </c>
      <c r="H60" s="326" cm="1">
        <f t="array" ref="H60">'CRECIMIENTO'!F31</f>
      </c>
      <c r="I60" s="327" cm="1">
        <f t="array" ref="I60">IF(H60=100,"Bueno",IF(H60=70,"Medio",IF(H60=50,"Malo",IF(H60=30,"Crítico",""))))</f>
      </c>
      <c r="J60" s="117"/>
      <c r="K60" s="6"/>
      <c r="L60" s="6"/>
      <c r="M60" s="6"/>
      <c r="N60" s="6"/>
      <c r="O60" s="6"/>
      <c r="P60" s="6"/>
      <c r="Q60" s="112"/>
    </row>
    <row r="61" ht="15" customHeight="1">
      <c r="A61" s="5"/>
      <c r="B61" s="6"/>
      <c r="C61" s="334"/>
      <c r="D61" s="328"/>
      <c r="E61" s="328"/>
      <c r="F61" s="329"/>
      <c r="G61" s="329"/>
      <c r="H61" s="330"/>
      <c r="I61" s="329"/>
      <c r="J61" s="6"/>
      <c r="K61" s="6"/>
      <c r="L61" s="6"/>
      <c r="M61" s="6"/>
      <c r="N61" s="6"/>
      <c r="O61" s="6"/>
      <c r="P61" s="6"/>
      <c r="Q61" s="112"/>
    </row>
    <row r="62" ht="16.5" customHeight="1">
      <c r="A62" s="5"/>
      <c r="B62" s="9"/>
      <c r="C62" t="s" s="313">
        <v>146</v>
      </c>
      <c r="D62" s="331"/>
      <c r="E62" s="331"/>
      <c r="F62" t="s" s="314">
        <v>123</v>
      </c>
      <c r="G62" t="s" s="314">
        <v>133</v>
      </c>
      <c r="H62" t="s" s="314">
        <v>236</v>
      </c>
      <c r="I62" t="s" s="315">
        <v>237</v>
      </c>
      <c r="J62" s="117"/>
      <c r="K62" s="6"/>
      <c r="L62" s="6"/>
      <c r="M62" s="6"/>
      <c r="N62" s="6"/>
      <c r="O62" s="6"/>
      <c r="P62" s="6"/>
      <c r="Q62" s="112"/>
    </row>
    <row r="63" ht="16" customHeight="1">
      <c r="A63" s="5"/>
      <c r="B63" s="9"/>
      <c r="C63" t="s" s="316">
        <v>147</v>
      </c>
      <c r="D63" s="317"/>
      <c r="E63" s="317"/>
      <c r="F63" s="318" cm="1">
        <f t="array" ref="F63">'CRECIMIENTO'!D35</f>
        <v>0.4</v>
      </c>
      <c r="G63" s="320" cm="1">
        <f t="array" ref="G63">'CRECIMIENTO'!E35</f>
        <v>0</v>
      </c>
      <c r="H63" s="320" cm="1">
        <f t="array" ref="H63">'CRECIMIENTO'!F35</f>
        <v>30</v>
      </c>
      <c r="I63" t="str" s="321" cm="1">
        <f t="array" ref="I63">IF(H63=100,"Bueno",IF(H63=70,"Medio",IF(H63=50,"Malo",IF(H63=30,"Crítico",""))))</f>
        <v>Crítico</v>
      </c>
      <c r="J63" s="117"/>
      <c r="K63" s="6"/>
      <c r="L63" s="6"/>
      <c r="M63" s="6"/>
      <c r="N63" s="6"/>
      <c r="O63" s="6"/>
      <c r="P63" s="6"/>
      <c r="Q63" s="112"/>
    </row>
    <row r="64" ht="16" customHeight="1">
      <c r="A64" s="5"/>
      <c r="B64" s="9"/>
      <c r="C64" t="s" s="316">
        <v>244</v>
      </c>
      <c r="D64" s="317"/>
      <c r="E64" s="317"/>
      <c r="F64" s="318" cm="1">
        <f t="array" ref="F64">'CRECIMIENTO'!D36</f>
        <v>0.2</v>
      </c>
      <c r="G64" s="320" cm="1">
        <f t="array" ref="G64">'CRECIMIENTO'!E36</f>
        <v>0</v>
      </c>
      <c r="H64" s="320" cm="1">
        <f t="array" ref="H64">'CRECIMIENTO'!F36</f>
        <v>30</v>
      </c>
      <c r="I64" t="str" s="321" cm="1">
        <f t="array" ref="I64">IF(H64=100,"Bueno",IF(H64=70,"Medio",IF(H64=50,"Malo",IF(H64=30,"Crítico",""))))</f>
        <v>Crítico</v>
      </c>
      <c r="J64" s="117"/>
      <c r="K64" s="6"/>
      <c r="L64" s="6"/>
      <c r="M64" s="6"/>
      <c r="N64" s="6"/>
      <c r="O64" s="6"/>
      <c r="P64" s="6"/>
      <c r="Q64" s="112"/>
    </row>
    <row r="65" ht="16" customHeight="1">
      <c r="A65" s="5"/>
      <c r="B65" s="9"/>
      <c r="C65" t="s" s="316">
        <v>245</v>
      </c>
      <c r="D65" s="317"/>
      <c r="E65" s="317"/>
      <c r="F65" s="318" cm="1">
        <f t="array" ref="F65">'CRECIMIENTO'!D37</f>
        <v>0.2</v>
      </c>
      <c r="G65" s="320" cm="1">
        <f t="array" ref="G65">'CRECIMIENTO'!E37</f>
        <v>0</v>
      </c>
      <c r="H65" s="320" cm="1">
        <f t="array" ref="H65">'CRECIMIENTO'!F37</f>
        <v>30</v>
      </c>
      <c r="I65" t="str" s="321" cm="1">
        <f t="array" ref="I65">IF(H65=100,"Bueno",IF(H65=70,"Medio",IF(H65=50,"Malo",IF(H65=30,"Crítico",""))))</f>
        <v>Crítico</v>
      </c>
      <c r="J65" s="117"/>
      <c r="K65" s="6"/>
      <c r="L65" s="6"/>
      <c r="M65" s="6"/>
      <c r="N65" s="6"/>
      <c r="O65" s="6"/>
      <c r="P65" s="6"/>
      <c r="Q65" s="112"/>
    </row>
    <row r="66" ht="15" customHeight="1">
      <c r="A66" s="5"/>
      <c r="B66" s="9"/>
      <c r="C66" t="s" s="322">
        <v>246</v>
      </c>
      <c r="D66" s="323"/>
      <c r="E66" s="323"/>
      <c r="F66" s="324" cm="1">
        <f t="array" ref="F66">'CRECIMIENTO'!D38</f>
        <v>0.2</v>
      </c>
      <c r="G66" s="326" cm="1">
        <f t="array" ref="G66">'CRECIMIENTO'!E38</f>
        <v>0</v>
      </c>
      <c r="H66" s="326" cm="1">
        <f t="array" ref="H66">'CRECIMIENTO'!F38</f>
        <v>30</v>
      </c>
      <c r="I66" t="str" s="327" cm="1">
        <f t="array" ref="I66">IF(H66=100,"Bueno",IF(H66=70,"Medio",IF(H66=50,"Malo",IF(H66=30,"Crítico",""))))</f>
        <v>Crítico</v>
      </c>
      <c r="J66" s="117"/>
      <c r="K66" s="6"/>
      <c r="L66" s="6"/>
      <c r="M66" s="6"/>
      <c r="N66" s="6"/>
      <c r="O66" s="6"/>
      <c r="P66" s="6"/>
      <c r="Q66" s="112"/>
    </row>
    <row r="67" ht="15" customHeight="1">
      <c r="A67" s="5"/>
      <c r="B67" s="6"/>
      <c r="C67" s="20"/>
      <c r="D67" s="20"/>
      <c r="E67" s="20"/>
      <c r="F67" s="20"/>
      <c r="G67" s="20"/>
      <c r="H67" s="67"/>
      <c r="I67" s="20"/>
      <c r="J67" s="7"/>
      <c r="K67" s="7"/>
      <c r="L67" s="7"/>
      <c r="M67" s="7"/>
      <c r="N67" s="7"/>
      <c r="O67" s="7"/>
      <c r="P67" s="7"/>
      <c r="Q67" s="112"/>
    </row>
    <row r="68" ht="15" customHeight="1">
      <c r="A68" s="5"/>
      <c r="B68" s="9"/>
      <c r="C68" t="s" s="335">
        <v>247</v>
      </c>
      <c r="D68" s="20"/>
      <c r="E68" s="20"/>
      <c r="F68" s="20"/>
      <c r="G68" s="20"/>
      <c r="H68" s="336"/>
      <c r="I68" s="20"/>
      <c r="J68" s="20"/>
      <c r="K68" s="20"/>
      <c r="L68" s="20"/>
      <c r="M68" s="20"/>
      <c r="N68" s="20"/>
      <c r="O68" s="20"/>
      <c r="P68" s="337"/>
      <c r="Q68" s="338"/>
    </row>
    <row r="69" ht="16.5" customHeight="1">
      <c r="A69" s="5"/>
      <c r="B69" s="9"/>
      <c r="C69" s="339"/>
      <c r="D69" s="340"/>
      <c r="E69" s="340"/>
      <c r="F69" s="340"/>
      <c r="G69" s="340"/>
      <c r="H69" s="341"/>
      <c r="I69" s="340"/>
      <c r="J69" s="340"/>
      <c r="K69" s="340"/>
      <c r="L69" s="340"/>
      <c r="M69" s="340"/>
      <c r="N69" s="340"/>
      <c r="O69" s="340"/>
      <c r="P69" s="342"/>
      <c r="Q69" s="338"/>
    </row>
    <row r="70" ht="16" customHeight="1">
      <c r="A70" s="5"/>
      <c r="B70" s="9"/>
      <c r="C70" s="343"/>
      <c r="D70" s="344"/>
      <c r="E70" s="344"/>
      <c r="F70" s="344"/>
      <c r="G70" s="344"/>
      <c r="H70" s="345"/>
      <c r="I70" s="344"/>
      <c r="J70" s="344"/>
      <c r="K70" s="344"/>
      <c r="L70" s="344"/>
      <c r="M70" s="344"/>
      <c r="N70" s="344"/>
      <c r="O70" s="344"/>
      <c r="P70" s="346"/>
      <c r="Q70" s="338"/>
    </row>
    <row r="71" ht="16" customHeight="1">
      <c r="A71" s="5"/>
      <c r="B71" s="9"/>
      <c r="C71" s="343"/>
      <c r="D71" s="344"/>
      <c r="E71" s="344"/>
      <c r="F71" s="344"/>
      <c r="G71" s="344"/>
      <c r="H71" s="345"/>
      <c r="I71" s="344"/>
      <c r="J71" s="344"/>
      <c r="K71" s="344"/>
      <c r="L71" s="344"/>
      <c r="M71" s="344"/>
      <c r="N71" s="344"/>
      <c r="O71" s="344"/>
      <c r="P71" s="346"/>
      <c r="Q71" s="338"/>
    </row>
    <row r="72" ht="16" customHeight="1">
      <c r="A72" s="5"/>
      <c r="B72" s="9"/>
      <c r="C72" s="343"/>
      <c r="D72" s="344"/>
      <c r="E72" s="344"/>
      <c r="F72" s="344"/>
      <c r="G72" s="344"/>
      <c r="H72" s="345"/>
      <c r="I72" s="344"/>
      <c r="J72" s="344"/>
      <c r="K72" s="344"/>
      <c r="L72" s="344"/>
      <c r="M72" s="344"/>
      <c r="N72" s="344"/>
      <c r="O72" s="344"/>
      <c r="P72" s="346"/>
      <c r="Q72" s="338"/>
    </row>
    <row r="73" ht="16" customHeight="1">
      <c r="A73" s="5"/>
      <c r="B73" s="9"/>
      <c r="C73" s="343"/>
      <c r="D73" s="344"/>
      <c r="E73" s="344"/>
      <c r="F73" s="344"/>
      <c r="G73" s="344"/>
      <c r="H73" s="345"/>
      <c r="I73" s="344"/>
      <c r="J73" s="344"/>
      <c r="K73" s="344"/>
      <c r="L73" s="344"/>
      <c r="M73" s="344"/>
      <c r="N73" s="344"/>
      <c r="O73" s="344"/>
      <c r="P73" s="346"/>
      <c r="Q73" s="338"/>
    </row>
    <row r="74" ht="16" customHeight="1">
      <c r="A74" s="5"/>
      <c r="B74" s="9"/>
      <c r="C74" s="343"/>
      <c r="D74" s="344"/>
      <c r="E74" s="344"/>
      <c r="F74" s="344"/>
      <c r="G74" s="344"/>
      <c r="H74" s="345"/>
      <c r="I74" s="344"/>
      <c r="J74" s="344"/>
      <c r="K74" s="344"/>
      <c r="L74" s="344"/>
      <c r="M74" s="344"/>
      <c r="N74" s="344"/>
      <c r="O74" s="344"/>
      <c r="P74" s="346"/>
      <c r="Q74" s="338"/>
    </row>
    <row r="75" ht="16" customHeight="1">
      <c r="A75" s="5"/>
      <c r="B75" s="9"/>
      <c r="C75" s="343"/>
      <c r="D75" s="344"/>
      <c r="E75" s="344"/>
      <c r="F75" s="344"/>
      <c r="G75" s="344"/>
      <c r="H75" s="345"/>
      <c r="I75" s="344"/>
      <c r="J75" s="344"/>
      <c r="K75" s="344"/>
      <c r="L75" s="344"/>
      <c r="M75" s="344"/>
      <c r="N75" s="344"/>
      <c r="O75" s="344"/>
      <c r="P75" s="346"/>
      <c r="Q75" s="338"/>
    </row>
    <row r="76" ht="16" customHeight="1">
      <c r="A76" s="5"/>
      <c r="B76" s="9"/>
      <c r="C76" s="343"/>
      <c r="D76" s="344"/>
      <c r="E76" s="344"/>
      <c r="F76" s="344"/>
      <c r="G76" s="344"/>
      <c r="H76" s="345"/>
      <c r="I76" s="344"/>
      <c r="J76" s="344"/>
      <c r="K76" s="344"/>
      <c r="L76" s="344"/>
      <c r="M76" s="344"/>
      <c r="N76" s="344"/>
      <c r="O76" s="344"/>
      <c r="P76" s="346"/>
      <c r="Q76" s="338"/>
    </row>
    <row r="77" ht="15" customHeight="1">
      <c r="A77" s="25"/>
      <c r="B77" s="27"/>
      <c r="C77" s="347"/>
      <c r="D77" s="348"/>
      <c r="E77" s="348"/>
      <c r="F77" s="348"/>
      <c r="G77" s="348"/>
      <c r="H77" s="349"/>
      <c r="I77" s="348"/>
      <c r="J77" s="348"/>
      <c r="K77" s="348"/>
      <c r="L77" s="348"/>
      <c r="M77" s="348"/>
      <c r="N77" s="348"/>
      <c r="O77" s="348"/>
      <c r="P77" s="350"/>
      <c r="Q77" s="351"/>
    </row>
  </sheetData>
  <mergeCells count="12">
    <mergeCell ref="C3:E4"/>
    <mergeCell ref="C69:P77"/>
    <mergeCell ref="C6:D6"/>
    <mergeCell ref="F6:G6"/>
    <mergeCell ref="I6:J6"/>
    <mergeCell ref="L6:M6"/>
    <mergeCell ref="O6:P6"/>
    <mergeCell ref="C7:D7"/>
    <mergeCell ref="F7:G7"/>
    <mergeCell ref="I7:J7"/>
    <mergeCell ref="L7:M7"/>
    <mergeCell ref="O7:P7"/>
  </mergeCells>
  <conditionalFormatting sqref="I46:I47 I50:I51 I54:I55 I58:I60 I63:I66">
    <cfRule type="cellIs" dxfId="0" priority="1" operator="equal" stopIfTrue="1">
      <formula>"Medio"</formula>
    </cfRule>
    <cfRule type="cellIs" dxfId="1" priority="2" operator="equal" stopIfTrue="1">
      <formula>"Crítico"</formula>
    </cfRule>
    <cfRule type="cellIs" dxfId="2" priority="3" operator="equal" stopIfTrue="1">
      <formula>"Malo"</formula>
    </cfRule>
    <cfRule type="cellIs" dxfId="3" priority="4" operator="equal" stopIfTrue="1">
      <formula>"Medio"</formula>
    </cfRule>
    <cfRule type="cellIs" dxfId="4" priority="5" operator="equal" stopIfTrue="1">
      <formula>"Bueno"</formula>
    </cfRule>
  </conditionalFormatting>
  <conditionalFormatting sqref="H48:H49 H52:H53 H56 H61:H62">
    <cfRule type="cellIs" dxfId="5" priority="1" operator="equal" stopIfTrue="1">
      <formula>30</formula>
    </cfRule>
    <cfRule type="cellIs" dxfId="6" priority="2" operator="equal" stopIfTrue="1">
      <formula>50</formula>
    </cfRule>
    <cfRule type="cellIs" dxfId="7" priority="3" operator="equal" stopIfTrue="1">
      <formula>70</formula>
    </cfRule>
  </conditionalFormatting>
  <conditionalFormatting sqref="I48:I49 I52:I53 I56:I57 I61 I67">
    <cfRule type="cellIs" dxfId="8" priority="1" operator="equal" stopIfTrue="1">
      <formula>"Medio"</formula>
    </cfRule>
  </conditionalFormatting>
  <conditionalFormatting sqref="H57">
    <cfRule type="cellIs" dxfId="9" priority="1" operator="equal" stopIfTrue="1">
      <formula>100</formula>
    </cfRule>
    <cfRule type="cellIs" dxfId="10" priority="2" operator="equal" stopIfTrue="1">
      <formula>30</formula>
    </cfRule>
    <cfRule type="cellIs" dxfId="11" priority="3" operator="equal" stopIfTrue="1">
      <formula>50</formula>
    </cfRule>
    <cfRule type="cellIs" dxfId="12" priority="4" operator="equal" stopIfTrue="1">
      <formula>70</formula>
    </cfRule>
  </conditionalFormatting>
  <conditionalFormatting sqref="I62">
    <cfRule type="cellIs" dxfId="13" priority="1" operator="equal" stopIfTrue="1">
      <formula>"Medio"</formula>
    </cfRule>
    <cfRule type="cellIs" dxfId="14" priority="2" operator="equal" stopIfTrue="1">
      <formula>"Crítico"</formula>
    </cfRule>
    <cfRule type="cellIs" dxfId="15" priority="3" operator="equal" stopIfTrue="1">
      <formula>"Malo"</formula>
    </cfRule>
    <cfRule type="cellIs" dxfId="16" priority="4" operator="equal" stopIfTrue="1">
      <formula>"Medio"</formula>
    </cfRule>
    <cfRule type="cellIs" dxfId="17" priority="5" operator="equal" stopIfTrue="1">
      <formula>"Bueno"</formula>
    </cfRule>
    <cfRule type="cellIs" dxfId="18" priority="6" operator="equal" stopIfTrue="1">
      <formula>"Crítico"</formula>
    </cfRule>
    <cfRule type="cellIs" dxfId="19" priority="7" operator="equal" stopIfTrue="1">
      <formula>"Malo"</formula>
    </cfRule>
    <cfRule type="cellIs" dxfId="20" priority="8" operator="equal" stopIfTrue="1">
      <formula>"Bueno"</formula>
    </cfRule>
  </conditionalFormatting>
  <pageMargins left="0.7" right="0.7" top="0.75" bottom="0.75" header="0.3" footer="0.3"/>
  <pageSetup firstPageNumber="1" fitToHeight="1" fitToWidth="1" scale="5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